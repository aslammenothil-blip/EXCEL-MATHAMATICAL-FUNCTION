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no\Documents\"/>
    </mc:Choice>
  </mc:AlternateContent>
  <xr:revisionPtr revIDLastSave="0" documentId="8_{65CBC2F8-8104-49B0-AC4B-A317E77028C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edical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7" i="1" l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</calcChain>
</file>

<file path=xl/sharedStrings.xml><?xml version="1.0" encoding="utf-8"?>
<sst xmlns="http://schemas.openxmlformats.org/spreadsheetml/2006/main" count="86" uniqueCount="35">
  <si>
    <t>Patient_ID</t>
  </si>
  <si>
    <t>Patient_Name</t>
  </si>
  <si>
    <t>Age</t>
  </si>
  <si>
    <t>Gender</t>
  </si>
  <si>
    <t>Department</t>
  </si>
  <si>
    <t>Treatment_Days</t>
  </si>
  <si>
    <t>Medication_Cost</t>
  </si>
  <si>
    <t>Lab_Cost</t>
  </si>
  <si>
    <t>Room_Cost_Per_Day</t>
  </si>
  <si>
    <t>Insurance_Covered</t>
  </si>
  <si>
    <t>Follow_Up_Required</t>
  </si>
  <si>
    <t>Aisha</t>
  </si>
  <si>
    <t>Rahul</t>
  </si>
  <si>
    <t>Meera</t>
  </si>
  <si>
    <t>Arjun</t>
  </si>
  <si>
    <t>Fathima</t>
  </si>
  <si>
    <t>Nikhil</t>
  </si>
  <si>
    <t>Ananya</t>
  </si>
  <si>
    <t>Vivek</t>
  </si>
  <si>
    <t>Sara</t>
  </si>
  <si>
    <t>Rohan</t>
  </si>
  <si>
    <t>Diya</t>
  </si>
  <si>
    <t>Adil</t>
  </si>
  <si>
    <t>Neha</t>
  </si>
  <si>
    <t>Kiran</t>
  </si>
  <si>
    <t>Maya</t>
  </si>
  <si>
    <t>Female</t>
  </si>
  <si>
    <t>Male</t>
  </si>
  <si>
    <t>Cardiology</t>
  </si>
  <si>
    <t>Orthopedics</t>
  </si>
  <si>
    <t>Pediatrics</t>
  </si>
  <si>
    <t>Neurology</t>
  </si>
  <si>
    <t>General Medicine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</si>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</sst>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AEEDAA-276F-41F6-B6CB-12AC5A4DC600}" name="Table1" displayName="Table1" ref="A1:K16" totalsRowShown="0" headerRowDxfId="0" headerRowBorderDxfId="1" tableBorderDxfId="2">
  <autoFilter ref="A1:K16" xr:uid="{9DAEEDAA-276F-41F6-B6CB-12AC5A4DC600}"/>
  <tableColumns count="11">
    <tableColumn id="1" xr3:uid="{169FEC37-7C69-4BC2-A47A-DC5EC662E2E6}" name="Patient_ID"/>
    <tableColumn id="2" xr3:uid="{A3BA0D67-53FD-4524-B14C-A70B11C93381}" name="Patient_Name"/>
    <tableColumn id="3" xr3:uid="{06F8413B-406A-4B27-84BB-918CE2B0ABB5}" name="Age"/>
    <tableColumn id="4" xr3:uid="{C8412A86-3C43-4400-92D5-D418213456FD}" name="Gender"/>
    <tableColumn id="5" xr3:uid="{A4B4DABC-E802-4479-A2F0-9447DF547340}" name="Department"/>
    <tableColumn id="6" xr3:uid="{7775C701-241E-4944-9E99-3B42975C10AA}" name="Treatment_Days"/>
    <tableColumn id="7" xr3:uid="{1EB33F60-0187-4673-9831-8AF993EFA7E2}" name="Medication_Cost"/>
    <tableColumn id="8" xr3:uid="{E54C4BFE-C3FB-478B-8E91-328537A273F3}" name="Lab_Cost"/>
    <tableColumn id="9" xr3:uid="{9942912F-8566-4D03-A041-5F5322F4E037}" name="Room_Cost_Per_Day"/>
    <tableColumn id="10" xr3:uid="{55D63FBC-5375-453B-8258-A02EB2517482}" name="Insurance_Covered"/>
    <tableColumn id="11" xr3:uid="{AEF963F9-B7A5-440E-8483-62349FE77502}" name="Follow_Up_Require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7"/>
  <sheetViews>
    <sheetView tabSelected="1" topLeftCell="C23" zoomScale="127" workbookViewId="0">
      <selection activeCell="E38" sqref="E38"/>
    </sheetView>
  </sheetViews>
  <sheetFormatPr defaultRowHeight="15" x14ac:dyDescent="0.25"/>
  <cols>
    <col min="1" max="1" width="12.42578125" customWidth="1"/>
    <col min="2" max="2" width="15.85546875" customWidth="1"/>
    <col min="4" max="4" width="9.85546875" customWidth="1"/>
    <col min="5" max="5" width="13.85546875" customWidth="1"/>
    <col min="6" max="6" width="17.5703125" customWidth="1"/>
    <col min="7" max="7" width="18.140625" customWidth="1"/>
    <col min="8" max="8" width="11" customWidth="1"/>
    <col min="9" max="9" width="21.42578125" customWidth="1"/>
    <col min="10" max="10" width="20.140625" customWidth="1"/>
    <col min="11" max="11" width="21.855468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1001</v>
      </c>
      <c r="B2" t="s">
        <v>11</v>
      </c>
      <c r="C2">
        <v>34</v>
      </c>
      <c r="D2" t="s">
        <v>26</v>
      </c>
      <c r="E2" t="s">
        <v>28</v>
      </c>
      <c r="F2">
        <v>5</v>
      </c>
      <c r="G2">
        <v>1200</v>
      </c>
      <c r="H2">
        <v>800</v>
      </c>
      <c r="I2">
        <v>1500</v>
      </c>
      <c r="J2" t="s">
        <v>33</v>
      </c>
      <c r="K2" t="s">
        <v>33</v>
      </c>
    </row>
    <row r="3" spans="1:11" x14ac:dyDescent="0.25">
      <c r="A3">
        <v>1002</v>
      </c>
      <c r="B3" t="s">
        <v>12</v>
      </c>
      <c r="C3">
        <v>52</v>
      </c>
      <c r="D3" t="s">
        <v>27</v>
      </c>
      <c r="E3" t="s">
        <v>29</v>
      </c>
      <c r="F3">
        <v>8</v>
      </c>
      <c r="G3">
        <v>2500</v>
      </c>
      <c r="H3">
        <v>1400</v>
      </c>
      <c r="I3">
        <v>1800</v>
      </c>
      <c r="J3" t="s">
        <v>33</v>
      </c>
      <c r="K3" t="s">
        <v>34</v>
      </c>
    </row>
    <row r="4" spans="1:11" x14ac:dyDescent="0.25">
      <c r="A4">
        <v>1003</v>
      </c>
      <c r="B4" t="s">
        <v>13</v>
      </c>
      <c r="C4">
        <v>27</v>
      </c>
      <c r="D4" t="s">
        <v>26</v>
      </c>
      <c r="E4" t="s">
        <v>30</v>
      </c>
      <c r="F4">
        <v>3</v>
      </c>
      <c r="G4">
        <v>900</v>
      </c>
      <c r="H4">
        <v>500</v>
      </c>
      <c r="I4">
        <v>1200</v>
      </c>
      <c r="J4" t="s">
        <v>34</v>
      </c>
      <c r="K4" t="s">
        <v>33</v>
      </c>
    </row>
    <row r="5" spans="1:11" x14ac:dyDescent="0.25">
      <c r="A5">
        <v>1004</v>
      </c>
      <c r="B5" t="s">
        <v>14</v>
      </c>
      <c r="C5">
        <v>68</v>
      </c>
      <c r="D5" t="s">
        <v>27</v>
      </c>
      <c r="E5" t="s">
        <v>28</v>
      </c>
      <c r="F5">
        <v>12</v>
      </c>
      <c r="G5">
        <v>4800</v>
      </c>
      <c r="H5">
        <v>2200</v>
      </c>
      <c r="I5">
        <v>2500</v>
      </c>
      <c r="J5" t="s">
        <v>33</v>
      </c>
      <c r="K5" t="s">
        <v>33</v>
      </c>
    </row>
    <row r="6" spans="1:11" x14ac:dyDescent="0.25">
      <c r="A6">
        <v>1005</v>
      </c>
      <c r="B6" t="s">
        <v>15</v>
      </c>
      <c r="C6">
        <v>45</v>
      </c>
      <c r="D6" t="s">
        <v>26</v>
      </c>
      <c r="E6" t="s">
        <v>31</v>
      </c>
      <c r="F6">
        <v>7</v>
      </c>
      <c r="G6">
        <v>3200</v>
      </c>
      <c r="H6">
        <v>1600</v>
      </c>
      <c r="I6">
        <v>2000</v>
      </c>
      <c r="J6" t="s">
        <v>33</v>
      </c>
      <c r="K6" t="s">
        <v>34</v>
      </c>
    </row>
    <row r="7" spans="1:11" x14ac:dyDescent="0.25">
      <c r="A7">
        <v>1006</v>
      </c>
      <c r="B7" t="s">
        <v>16</v>
      </c>
      <c r="C7">
        <v>39</v>
      </c>
      <c r="D7" t="s">
        <v>27</v>
      </c>
      <c r="E7" t="s">
        <v>32</v>
      </c>
      <c r="F7">
        <v>4</v>
      </c>
      <c r="G7">
        <v>1500</v>
      </c>
      <c r="H7">
        <v>700</v>
      </c>
      <c r="I7">
        <v>1400</v>
      </c>
      <c r="J7" t="s">
        <v>34</v>
      </c>
      <c r="K7" t="s">
        <v>33</v>
      </c>
    </row>
    <row r="8" spans="1:11" x14ac:dyDescent="0.25">
      <c r="A8">
        <v>1007</v>
      </c>
      <c r="B8" t="s">
        <v>17</v>
      </c>
      <c r="C8">
        <v>61</v>
      </c>
      <c r="D8" t="s">
        <v>26</v>
      </c>
      <c r="E8" t="s">
        <v>29</v>
      </c>
      <c r="F8">
        <v>10</v>
      </c>
      <c r="G8">
        <v>3600</v>
      </c>
      <c r="H8">
        <v>1800</v>
      </c>
      <c r="I8">
        <v>2200</v>
      </c>
      <c r="J8" t="s">
        <v>33</v>
      </c>
      <c r="K8" t="s">
        <v>34</v>
      </c>
    </row>
    <row r="9" spans="1:11" x14ac:dyDescent="0.25">
      <c r="A9">
        <v>1008</v>
      </c>
      <c r="B9" t="s">
        <v>18</v>
      </c>
      <c r="C9">
        <v>23</v>
      </c>
      <c r="D9" t="s">
        <v>27</v>
      </c>
      <c r="E9" t="s">
        <v>30</v>
      </c>
      <c r="F9">
        <v>2</v>
      </c>
      <c r="G9">
        <v>700</v>
      </c>
      <c r="H9">
        <v>400</v>
      </c>
      <c r="I9">
        <v>1000</v>
      </c>
      <c r="J9" t="s">
        <v>34</v>
      </c>
      <c r="K9" t="s">
        <v>33</v>
      </c>
    </row>
    <row r="10" spans="1:11" x14ac:dyDescent="0.25">
      <c r="A10">
        <v>1009</v>
      </c>
      <c r="B10" t="s">
        <v>19</v>
      </c>
      <c r="C10">
        <v>57</v>
      </c>
      <c r="D10" t="s">
        <v>26</v>
      </c>
      <c r="E10" t="s">
        <v>28</v>
      </c>
      <c r="F10">
        <v>9</v>
      </c>
      <c r="G10">
        <v>4100</v>
      </c>
      <c r="H10">
        <v>2100</v>
      </c>
      <c r="I10">
        <v>2300</v>
      </c>
      <c r="J10" t="s">
        <v>33</v>
      </c>
      <c r="K10" t="s">
        <v>33</v>
      </c>
    </row>
    <row r="11" spans="1:11" x14ac:dyDescent="0.25">
      <c r="A11">
        <v>1010</v>
      </c>
      <c r="B11" t="s">
        <v>20</v>
      </c>
      <c r="C11">
        <v>72</v>
      </c>
      <c r="D11" t="s">
        <v>27</v>
      </c>
      <c r="E11" t="s">
        <v>31</v>
      </c>
      <c r="F11">
        <v>14</v>
      </c>
      <c r="G11">
        <v>5200</v>
      </c>
      <c r="H11">
        <v>2600</v>
      </c>
      <c r="I11">
        <v>2800</v>
      </c>
      <c r="J11" t="s">
        <v>33</v>
      </c>
      <c r="K11" t="s">
        <v>33</v>
      </c>
    </row>
    <row r="12" spans="1:11" x14ac:dyDescent="0.25">
      <c r="A12">
        <v>1011</v>
      </c>
      <c r="B12" t="s">
        <v>21</v>
      </c>
      <c r="C12">
        <v>31</v>
      </c>
      <c r="D12" t="s">
        <v>26</v>
      </c>
      <c r="E12" t="s">
        <v>32</v>
      </c>
      <c r="F12">
        <v>6</v>
      </c>
      <c r="G12">
        <v>1800</v>
      </c>
      <c r="H12">
        <v>900</v>
      </c>
      <c r="I12">
        <v>1300</v>
      </c>
      <c r="J12" t="s">
        <v>34</v>
      </c>
      <c r="K12" t="s">
        <v>34</v>
      </c>
    </row>
    <row r="13" spans="1:11" x14ac:dyDescent="0.25">
      <c r="A13">
        <v>1012</v>
      </c>
      <c r="B13" t="s">
        <v>22</v>
      </c>
      <c r="C13">
        <v>48</v>
      </c>
      <c r="D13" t="s">
        <v>27</v>
      </c>
      <c r="E13" t="s">
        <v>28</v>
      </c>
      <c r="F13">
        <v>11</v>
      </c>
      <c r="G13">
        <v>4500</v>
      </c>
      <c r="H13">
        <v>1900</v>
      </c>
      <c r="I13">
        <v>2400</v>
      </c>
      <c r="J13" t="s">
        <v>33</v>
      </c>
      <c r="K13" t="s">
        <v>33</v>
      </c>
    </row>
    <row r="14" spans="1:11" x14ac:dyDescent="0.25">
      <c r="A14">
        <v>1013</v>
      </c>
      <c r="B14" t="s">
        <v>23</v>
      </c>
      <c r="C14">
        <v>66</v>
      </c>
      <c r="D14" t="s">
        <v>26</v>
      </c>
      <c r="E14" t="s">
        <v>29</v>
      </c>
      <c r="F14">
        <v>13</v>
      </c>
      <c r="G14">
        <v>3900</v>
      </c>
      <c r="H14">
        <v>2300</v>
      </c>
      <c r="I14">
        <v>2100</v>
      </c>
      <c r="J14" t="s">
        <v>33</v>
      </c>
      <c r="K14" t="s">
        <v>34</v>
      </c>
    </row>
    <row r="15" spans="1:11" x14ac:dyDescent="0.25">
      <c r="A15">
        <v>1014</v>
      </c>
      <c r="B15" t="s">
        <v>24</v>
      </c>
      <c r="C15">
        <v>29</v>
      </c>
      <c r="D15" t="s">
        <v>27</v>
      </c>
      <c r="E15" t="s">
        <v>32</v>
      </c>
      <c r="F15">
        <v>3</v>
      </c>
      <c r="G15">
        <v>1100</v>
      </c>
      <c r="H15">
        <v>600</v>
      </c>
      <c r="I15">
        <v>1100</v>
      </c>
      <c r="J15" t="s">
        <v>34</v>
      </c>
      <c r="K15" t="s">
        <v>34</v>
      </c>
    </row>
    <row r="16" spans="1:11" x14ac:dyDescent="0.25">
      <c r="A16">
        <v>1015</v>
      </c>
      <c r="B16" t="s">
        <v>25</v>
      </c>
      <c r="C16">
        <v>54</v>
      </c>
      <c r="D16" t="s">
        <v>26</v>
      </c>
      <c r="E16" t="s">
        <v>31</v>
      </c>
      <c r="F16">
        <v>8</v>
      </c>
      <c r="G16">
        <v>2800</v>
      </c>
      <c r="H16">
        <v>1500</v>
      </c>
      <c r="I16">
        <v>1900</v>
      </c>
      <c r="J16" t="s">
        <v>33</v>
      </c>
      <c r="K16" t="s">
        <v>33</v>
      </c>
    </row>
    <row r="18" spans="4:5" x14ac:dyDescent="0.25">
      <c r="D18">
        <v>1</v>
      </c>
      <c r="E18">
        <f>SUMIF(Table1[Department],E2,Table1[Medication_Cost])</f>
        <v>14600</v>
      </c>
    </row>
    <row r="19" spans="4:5" x14ac:dyDescent="0.25">
      <c r="D19">
        <v>2</v>
      </c>
      <c r="E19">
        <f>SUMIF(Table1[Insurance_Covered],J2,Table1[Lab_Cost])</f>
        <v>18200</v>
      </c>
    </row>
    <row r="20" spans="4:5" x14ac:dyDescent="0.25">
      <c r="D20">
        <v>3</v>
      </c>
      <c r="E20">
        <f ca="1">SUMIF(Table1[Gender],D2,F2:F15)</f>
        <v>61</v>
      </c>
    </row>
    <row r="21" spans="4:5" x14ac:dyDescent="0.25">
      <c r="D21">
        <v>4</v>
      </c>
      <c r="E21">
        <f>AVERAGEIF(Table1[Department],E2,Table1[Age])</f>
        <v>51.75</v>
      </c>
    </row>
    <row r="22" spans="4:5" x14ac:dyDescent="0.25">
      <c r="D22">
        <v>5</v>
      </c>
      <c r="E22">
        <f>AVERAGEIF(Table1[Insurance_Covered],J16,Table1[Treatment_Days])</f>
        <v>9.6999999999999993</v>
      </c>
    </row>
    <row r="23" spans="4:5" x14ac:dyDescent="0.25">
      <c r="D23">
        <v>6</v>
      </c>
      <c r="E23">
        <f>AVERAGEIF(Table1[Gender],D2,Table1[Medication_Cost])</f>
        <v>2687.5</v>
      </c>
    </row>
    <row r="24" spans="4:5" x14ac:dyDescent="0.25">
      <c r="D24">
        <v>7</v>
      </c>
      <c r="E24">
        <f>COUNTIF(Table1[Department],E2)</f>
        <v>4</v>
      </c>
    </row>
    <row r="25" spans="4:5" x14ac:dyDescent="0.25">
      <c r="D25">
        <v>8</v>
      </c>
      <c r="E25">
        <f>COUNTIF(Table1[Insurance_Covered],J2)</f>
        <v>10</v>
      </c>
    </row>
    <row r="26" spans="4:5" x14ac:dyDescent="0.25">
      <c r="D26">
        <v>9</v>
      </c>
      <c r="E26">
        <f>COUNTIF(Table1[Follow_Up_Required],K2)</f>
        <v>9</v>
      </c>
    </row>
    <row r="27" spans="4:5" x14ac:dyDescent="0.25">
      <c r="D27">
        <v>10</v>
      </c>
      <c r="E27">
        <f>SUMIFS(Table1[Medication_Cost],Table1[Gender],D16,Table1[Department],E10)</f>
        <v>5300</v>
      </c>
    </row>
    <row r="28" spans="4:5" x14ac:dyDescent="0.25">
      <c r="D28">
        <v>11</v>
      </c>
      <c r="E28">
        <f>SUMIFS(Table1[Lab_Cost],Table1[Insurance_Covered],J2,Table1[Follow_Up_Required],K2)</f>
        <v>11100</v>
      </c>
    </row>
    <row r="29" spans="4:5" x14ac:dyDescent="0.25">
      <c r="D29">
        <v>12</v>
      </c>
      <c r="E29">
        <f>SUMIFS(Table1[Treatment_Days],Table1[Gender],D11,Table1[Department],E3)</f>
        <v>8</v>
      </c>
    </row>
    <row r="30" spans="4:5" x14ac:dyDescent="0.25">
      <c r="D30">
        <v>13</v>
      </c>
      <c r="E30">
        <f>COUNTIFS(Table1[Gender],D16,Table1[Department],E5)</f>
        <v>2</v>
      </c>
    </row>
    <row r="31" spans="4:5" x14ac:dyDescent="0.25">
      <c r="D31">
        <v>14</v>
      </c>
      <c r="E31">
        <f>COUNTIFS(Table1[Insurance_Covered],J16,Table1[Follow_Up_Required],K16)</f>
        <v>6</v>
      </c>
    </row>
    <row r="32" spans="4:5" x14ac:dyDescent="0.25">
      <c r="D32">
        <v>15</v>
      </c>
      <c r="E32">
        <f>COUNTIFS(Table1[Department],E6,Table1[Treatment_Days],"&gt;7")</f>
        <v>2</v>
      </c>
    </row>
    <row r="33" spans="4:5" x14ac:dyDescent="0.25">
      <c r="D33">
        <v>16</v>
      </c>
      <c r="E33">
        <f>AVERAGEIFS(Table1[Medication_Cost],Table1[Gender],D16,Table1[Department],E13)</f>
        <v>2650</v>
      </c>
    </row>
    <row r="34" spans="4:5" x14ac:dyDescent="0.25">
      <c r="D34">
        <v>17</v>
      </c>
      <c r="E34">
        <f>AVERAGEIFS(Table1[Treatment_Days],Table1[Insurance_Covered],J16,Table1[Follow_Up_Required],K16)</f>
        <v>9.8333333333333339</v>
      </c>
    </row>
    <row r="35" spans="4:5" x14ac:dyDescent="0.25">
      <c r="D35">
        <v>18</v>
      </c>
      <c r="E35">
        <f>_xlfn.MAXIFS(Table1[Medication_Cost],Table1[Department],E2)</f>
        <v>4800</v>
      </c>
    </row>
    <row r="36" spans="4:5" x14ac:dyDescent="0.25">
      <c r="D36">
        <v>19</v>
      </c>
      <c r="E36">
        <f>_xlfn.MAXIFS(F2:F16,Table1[Insurance_Covered],J2)</f>
        <v>14</v>
      </c>
    </row>
    <row r="37" spans="4:5" x14ac:dyDescent="0.25">
      <c r="D37">
        <v>20</v>
      </c>
      <c r="E37">
        <f>_xlfn.MINIFS(Table1[Medication_Cost],Table1[Department],E4)</f>
        <v>700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Medical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nano</dc:creator>
  <cp:lastModifiedBy>nano</cp:lastModifiedBy>
  <dcterms:created xsi:type="dcterms:W3CDTF">2026-09-08T06:03:13Z</dcterms:created>
  <dcterms:modified xsi:type="dcterms:W3CDTF">2026-09-09T07:29:32Z</dcterms:modified>
</cp:coreProperties>
</file>