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548EF58-A39C-4CA7-AAB7-444AFA7ECE95}" xr6:coauthVersionLast="47" xr6:coauthVersionMax="47" xr10:uidLastSave="{00000000-0000-0000-0000-000000000000}"/>
  <bookViews>
    <workbookView xWindow="-110" yWindow="-110" windowWidth="19420" windowHeight="10420" activeTab="1" xr2:uid="{C2E4A379-24C8-4ECB-AC52-37877C540CB7}"/>
  </bookViews>
  <sheets>
    <sheet name="Sheet4" sheetId="4" r:id="rId1"/>
    <sheet name="DATAS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" i="3" l="1" a="1"/>
  <c r="P2" i="3"/>
  <c r="P3" i="3" a="1"/>
  <c r="P3" i="3" s="1"/>
  <c r="P4" i="3" a="1"/>
  <c r="P4" i="3"/>
  <c r="P5" i="3" a="1"/>
  <c r="P5" i="3" s="1"/>
  <c r="P6" i="3" a="1"/>
  <c r="P6" i="3" s="1"/>
  <c r="P7" i="3" a="1"/>
  <c r="P7" i="3" s="1"/>
  <c r="P8" i="3" a="1"/>
  <c r="P8" i="3"/>
  <c r="P9" i="3" a="1"/>
  <c r="P9" i="3" s="1"/>
  <c r="P10" i="3" a="1"/>
  <c r="P10" i="3" s="1"/>
  <c r="P11" i="3" a="1"/>
  <c r="P11" i="3" s="1"/>
  <c r="P12" i="3" a="1"/>
  <c r="P12" i="3"/>
  <c r="P13" i="3" a="1"/>
  <c r="P13" i="3" s="1"/>
  <c r="P14" i="3" a="1"/>
  <c r="P14" i="3" s="1"/>
  <c r="P15" i="3" a="1"/>
  <c r="P15" i="3" s="1"/>
  <c r="P16" i="3" a="1"/>
  <c r="P16" i="3"/>
  <c r="P17" i="3" a="1"/>
  <c r="P17" i="3" s="1"/>
  <c r="P18" i="3" a="1"/>
  <c r="P18" i="3" s="1"/>
  <c r="P19" i="3" a="1"/>
  <c r="P19" i="3" s="1"/>
  <c r="P20" i="3" a="1"/>
  <c r="P20" i="3"/>
  <c r="P21" i="3" a="1"/>
  <c r="P21" i="3" s="1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M2" i="3" a="1"/>
  <c r="M2" i="3" s="1"/>
  <c r="M3" i="3" a="1"/>
  <c r="M3" i="3" s="1"/>
  <c r="M4" i="3" a="1"/>
  <c r="M4" i="3" s="1"/>
  <c r="M5" i="3" a="1"/>
  <c r="M5" i="3" s="1"/>
  <c r="M6" i="3" a="1"/>
  <c r="M6" i="3" s="1"/>
  <c r="M7" i="3" a="1"/>
  <c r="M7" i="3" s="1"/>
  <c r="M8" i="3" a="1"/>
  <c r="M8" i="3" s="1"/>
  <c r="M9" i="3" a="1"/>
  <c r="M9" i="3" s="1"/>
  <c r="M10" i="3" a="1"/>
  <c r="M10" i="3" s="1"/>
  <c r="M11" i="3" a="1"/>
  <c r="M11" i="3" s="1"/>
  <c r="M12" i="3" a="1"/>
  <c r="M12" i="3" s="1"/>
  <c r="M13" i="3" a="1"/>
  <c r="M13" i="3" s="1"/>
  <c r="M14" i="3" a="1"/>
  <c r="M14" i="3" s="1"/>
  <c r="M15" i="3" a="1"/>
  <c r="M15" i="3" s="1"/>
  <c r="M16" i="3" a="1"/>
  <c r="M16" i="3" s="1"/>
  <c r="M17" i="3" a="1"/>
  <c r="M17" i="3" s="1"/>
  <c r="M18" i="3" a="1"/>
  <c r="M18" i="3" s="1"/>
  <c r="M19" i="3" a="1"/>
  <c r="M19" i="3" s="1"/>
  <c r="M20" i="3" a="1"/>
  <c r="M20" i="3" s="1"/>
  <c r="M21" i="3" a="1"/>
  <c r="M21" i="3" s="1"/>
  <c r="K2" i="3" a="1"/>
  <c r="K2" i="3" s="1"/>
  <c r="K3" i="3" a="1"/>
  <c r="K3" i="3" s="1"/>
  <c r="K4" i="3" a="1"/>
  <c r="K4" i="3" s="1"/>
  <c r="K5" i="3" a="1"/>
  <c r="K5" i="3" s="1"/>
  <c r="K6" i="3" a="1"/>
  <c r="K6" i="3" s="1"/>
  <c r="K7" i="3" a="1"/>
  <c r="K7" i="3" s="1"/>
  <c r="K8" i="3" a="1"/>
  <c r="K8" i="3" s="1"/>
  <c r="K9" i="3" a="1"/>
  <c r="K9" i="3" s="1"/>
  <c r="K10" i="3" a="1"/>
  <c r="K10" i="3" s="1"/>
  <c r="K11" i="3" a="1"/>
  <c r="K11" i="3" s="1"/>
  <c r="K12" i="3" a="1"/>
  <c r="K12" i="3" s="1"/>
  <c r="K13" i="3" a="1"/>
  <c r="K13" i="3" s="1"/>
  <c r="K14" i="3" a="1"/>
  <c r="K14" i="3" s="1"/>
  <c r="K15" i="3" a="1"/>
  <c r="K15" i="3" s="1"/>
  <c r="K16" i="3" a="1"/>
  <c r="K16" i="3" s="1"/>
  <c r="K17" i="3" a="1"/>
  <c r="K17" i="3" s="1"/>
  <c r="K18" i="3" a="1"/>
  <c r="K18" i="3" s="1"/>
  <c r="K19" i="3" a="1"/>
  <c r="K19" i="3" s="1"/>
  <c r="K20" i="3" a="1"/>
  <c r="K20" i="3" s="1"/>
  <c r="K21" i="3" a="1"/>
  <c r="K21" i="3" s="1"/>
  <c r="F2" i="3" a="1"/>
  <c r="F2" i="3" s="1"/>
  <c r="F3" i="3" a="1"/>
  <c r="F3" i="3" s="1"/>
  <c r="F4" i="3" a="1"/>
  <c r="F4" i="3" s="1"/>
  <c r="F5" i="3" a="1"/>
  <c r="F5" i="3" s="1"/>
  <c r="F6" i="3" a="1"/>
  <c r="F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 s="1"/>
  <c r="N2" i="3" a="1"/>
  <c r="N2" i="3" s="1"/>
  <c r="N3" i="3" a="1"/>
  <c r="N3" i="3" s="1"/>
  <c r="N4" i="3" a="1"/>
  <c r="N4" i="3" s="1"/>
  <c r="N5" i="3" a="1"/>
  <c r="N5" i="3" s="1"/>
  <c r="N6" i="3" a="1"/>
  <c r="N6" i="3" s="1"/>
  <c r="N7" i="3" a="1"/>
  <c r="N7" i="3" s="1"/>
  <c r="N8" i="3" a="1"/>
  <c r="N8" i="3" s="1"/>
  <c r="N9" i="3" a="1"/>
  <c r="N9" i="3" s="1"/>
  <c r="N10" i="3" a="1"/>
  <c r="N10" i="3" s="1"/>
  <c r="N11" i="3" a="1"/>
  <c r="N11" i="3" s="1"/>
  <c r="N12" i="3" a="1"/>
  <c r="N12" i="3" s="1"/>
  <c r="N13" i="3" a="1"/>
  <c r="N13" i="3" s="1"/>
  <c r="N14" i="3" a="1"/>
  <c r="N14" i="3" s="1"/>
  <c r="N15" i="3" a="1"/>
  <c r="N15" i="3" s="1"/>
  <c r="N16" i="3" a="1"/>
  <c r="N16" i="3" s="1"/>
  <c r="N17" i="3" a="1"/>
  <c r="N17" i="3" s="1"/>
  <c r="N18" i="3" a="1"/>
  <c r="N18" i="3" s="1"/>
  <c r="N19" i="3" a="1"/>
  <c r="N19" i="3" s="1"/>
  <c r="N20" i="3" a="1"/>
  <c r="N20" i="3" s="1"/>
  <c r="N21" i="3" a="1"/>
  <c r="N21" i="3" s="1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B29" i="3"/>
  <c r="B28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R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B27" i="3"/>
  <c r="B25" i="3"/>
  <c r="B24" i="3"/>
  <c r="B26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<sst xmlns="http://schemas.openxmlformats.org/spreadsheetml/2006/main" count="128" uniqueCount="95">
  <si>
    <t>Employee_ID</t>
  </si>
  <si>
    <t>Employee_Name</t>
  </si>
  <si>
    <t>Department</t>
  </si>
  <si>
    <t>Location</t>
  </si>
  <si>
    <t>Experience_Years</t>
  </si>
  <si>
    <t>Basic_Salary</t>
  </si>
  <si>
    <t>Bonus</t>
  </si>
  <si>
    <t>Sales_Target</t>
  </si>
  <si>
    <t>Sales_Achieved</t>
  </si>
  <si>
    <t>Performance_Score</t>
  </si>
  <si>
    <t>Attendance_%</t>
  </si>
  <si>
    <t>Overtime_Hours</t>
  </si>
  <si>
    <t>E001</t>
  </si>
  <si>
    <t>Arjun</t>
  </si>
  <si>
    <t>Sales</t>
  </si>
  <si>
    <t>Kochi</t>
  </si>
  <si>
    <t>E002</t>
  </si>
  <si>
    <t>Meera</t>
  </si>
  <si>
    <t>HR</t>
  </si>
  <si>
    <t>Calicut</t>
  </si>
  <si>
    <t>E003</t>
  </si>
  <si>
    <t>Rahul</t>
  </si>
  <si>
    <t>IT</t>
  </si>
  <si>
    <t>E004</t>
  </si>
  <si>
    <t>Anjali</t>
  </si>
  <si>
    <t>Finance</t>
  </si>
  <si>
    <t>Bangalore</t>
  </si>
  <si>
    <t>E005</t>
  </si>
  <si>
    <t>Nikhil</t>
  </si>
  <si>
    <t>E006</t>
  </si>
  <si>
    <t>Fathima</t>
  </si>
  <si>
    <t>E007</t>
  </si>
  <si>
    <t>Vishnu</t>
  </si>
  <si>
    <t>E008</t>
  </si>
  <si>
    <t>Sneha</t>
  </si>
  <si>
    <t>E009</t>
  </si>
  <si>
    <t>Adil</t>
  </si>
  <si>
    <t>E010</t>
  </si>
  <si>
    <t>Diya</t>
  </si>
  <si>
    <t>E011</t>
  </si>
  <si>
    <t>Akhil</t>
  </si>
  <si>
    <t>E012</t>
  </si>
  <si>
    <t>Hiba</t>
  </si>
  <si>
    <t>E013</t>
  </si>
  <si>
    <t>Sreejith</t>
  </si>
  <si>
    <t>E014</t>
  </si>
  <si>
    <t>Ayesha</t>
  </si>
  <si>
    <t>E015</t>
  </si>
  <si>
    <t>Manu</t>
  </si>
  <si>
    <t>E016</t>
  </si>
  <si>
    <t>Reshma</t>
  </si>
  <si>
    <t>E017</t>
  </si>
  <si>
    <t>Jithin</t>
  </si>
  <si>
    <t>E018</t>
  </si>
  <si>
    <t>Amritha</t>
  </si>
  <si>
    <t>E019</t>
  </si>
  <si>
    <t>Salman</t>
  </si>
  <si>
    <t>E020</t>
  </si>
  <si>
    <t>Keerthi</t>
  </si>
  <si>
    <t>No.</t>
  </si>
  <si>
    <t>Task</t>
  </si>
  <si>
    <t>Calculate the total Basic Salary of all employees.</t>
  </si>
  <si>
    <t>Find the minimum Basic Salary.</t>
  </si>
  <si>
    <t>Find the maximum Basic Salary.</t>
  </si>
  <si>
    <t>Calculate the total Bonus paid to all employees.</t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</si>
  <si>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Total Salary</t>
    </r>
    <r>
      <rPr>
        <sz val="11"/>
        <color theme="1"/>
        <rFont val="Calibri"/>
        <family val="2"/>
        <scheme val="minor"/>
      </rPr>
      <t xml:space="preserve"> by adding Basic Salary and Bonus.</t>
    </r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</si>
  <si>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Target Status</t>
    </r>
    <r>
      <rPr>
        <sz val="11"/>
        <color theme="1"/>
        <rFont val="Calibri"/>
        <family val="2"/>
        <scheme val="minor"/>
      </rPr>
      <t xml:space="preserve">: If Sales Achieved ≥ Sales Target, display </t>
    </r>
    <r>
      <rPr>
        <b/>
        <sz val="11"/>
        <color theme="1"/>
        <rFont val="Calibri"/>
        <family val="2"/>
        <scheme val="minor"/>
      </rPr>
      <t>Achieved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Not Achieved</t>
    </r>
    <r>
      <rPr>
        <sz val="11"/>
        <color theme="1"/>
        <rFont val="Calibri"/>
        <family val="2"/>
        <scheme val="minor"/>
      </rPr>
      <t>.</t>
    </r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</si>
  <si>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Performance Level</t>
    </r>
    <r>
      <rPr>
        <sz val="11"/>
        <color theme="1"/>
        <rFont val="Calibri"/>
        <family val="2"/>
        <scheme val="minor"/>
      </rPr>
      <t xml:space="preserve">: If Performance Score ≥ 85 AND Attendance ≥ 90, display </t>
    </r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Needs Improvement</t>
    </r>
    <r>
      <rPr>
        <sz val="11"/>
        <color theme="1"/>
        <rFont val="Calibri"/>
        <family val="2"/>
        <scheme val="minor"/>
      </rPr>
      <t>.</t>
    </r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</si>
  <si>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Eligibility</t>
    </r>
    <r>
      <rPr>
        <sz val="11"/>
        <color theme="1"/>
        <rFont val="Calibri"/>
        <family val="2"/>
        <scheme val="minor"/>
      </rPr>
      <t xml:space="preserve">: If Department is IT OR Finance, display </t>
    </r>
    <r>
      <rPr>
        <b/>
        <sz val="11"/>
        <color theme="1"/>
        <rFont val="Calibri"/>
        <family val="2"/>
        <scheme val="minor"/>
      </rPr>
      <t>Eligible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Not Eligible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</si>
  <si>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Basic Salary of employees in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</si>
  <si>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Calculate the total Bonus of employees in the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</si>
  <si>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Calculate the total Sales Achieved by employees in </t>
    </r>
    <r>
      <rPr>
        <b/>
        <sz val="11"/>
        <color theme="1"/>
        <rFont val="Calibri"/>
        <family val="2"/>
        <scheme val="minor"/>
      </rPr>
      <t>Kochi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</si>
  <si>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Basic Salary of </t>
    </r>
    <r>
      <rPr>
        <b/>
        <sz val="11"/>
        <color theme="1"/>
        <rFont val="Calibri"/>
        <family val="2"/>
        <scheme val="minor"/>
      </rPr>
      <t>Sales employees in Calicut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</si>
  <si>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Bonus of employees whose Performance Score is </t>
    </r>
    <r>
      <rPr>
        <b/>
        <sz val="11"/>
        <color theme="1"/>
        <rFont val="Calibri"/>
        <family val="2"/>
        <scheme val="minor"/>
      </rPr>
      <t>90 or above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</si>
  <si>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in the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</si>
  <si>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Count the number of employees located in </t>
    </r>
    <r>
      <rPr>
        <b/>
        <sz val="11"/>
        <color theme="1"/>
        <rFont val="Calibri"/>
        <family val="2"/>
        <scheme val="minor"/>
      </rPr>
      <t>Kochi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</si>
  <si>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whose Performance Score is </t>
    </r>
    <r>
      <rPr>
        <b/>
        <sz val="11"/>
        <color theme="1"/>
        <rFont val="Calibri"/>
        <family val="2"/>
        <scheme val="minor"/>
      </rPr>
      <t>85 or above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</si>
  <si>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whose Attendance is </t>
    </r>
    <r>
      <rPr>
        <b/>
        <sz val="11"/>
        <color theme="1"/>
        <rFont val="Calibri"/>
        <family val="2"/>
        <scheme val="minor"/>
      </rPr>
      <t>95 or above</t>
    </r>
    <r>
      <rPr>
        <sz val="11"/>
        <color theme="1"/>
        <rFont val="Calibri"/>
        <family val="2"/>
        <scheme val="minor"/>
      </rPr>
      <t>.</t>
    </r>
  </si>
  <si>
    <r>
      <t xml:space="preserve">Find the average Basic Salary of employees in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</si>
  <si>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Find the average Performance Score of employees in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>.</t>
    </r>
  </si>
  <si>
    <r>
      <t xml:space="preserve">Find the average Sales Achieved by employees in </t>
    </r>
    <r>
      <rPr>
        <b/>
        <sz val="11"/>
        <color theme="1"/>
        <rFont val="Calibri"/>
        <family val="2"/>
        <scheme val="minor"/>
      </rPr>
      <t>Kochi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</si>
  <si>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Basic Salary of employees with </t>
    </r>
    <r>
      <rPr>
        <b/>
        <sz val="11"/>
        <color theme="1"/>
        <rFont val="Calibri"/>
        <family val="2"/>
        <scheme val="minor"/>
      </rPr>
      <t>5 or more years of experience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</si>
  <si>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Sales Achieved by </t>
    </r>
    <r>
      <rPr>
        <b/>
        <sz val="11"/>
        <color theme="1"/>
        <rFont val="Calibri"/>
        <family val="2"/>
        <scheme val="minor"/>
      </rPr>
      <t>IT employees in Bangalore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</si>
  <si>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Bonus of </t>
    </r>
    <r>
      <rPr>
        <b/>
        <sz val="11"/>
        <color theme="1"/>
        <rFont val="Calibri"/>
        <family val="2"/>
        <scheme val="minor"/>
      </rPr>
      <t>Sales employees with Performance Score ≥ 85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</si>
  <si>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in </t>
    </r>
    <r>
      <rPr>
        <b/>
        <sz val="11"/>
        <color theme="1"/>
        <rFont val="Calibri"/>
        <family val="2"/>
        <scheme val="minor"/>
      </rPr>
      <t>Calicut</t>
    </r>
    <r>
      <rPr>
        <sz val="11"/>
        <color theme="1"/>
        <rFont val="Calibri"/>
        <family val="2"/>
        <scheme val="minor"/>
      </rPr>
      <t xml:space="preserve"> whose Performance Score is </t>
    </r>
    <r>
      <rPr>
        <b/>
        <sz val="11"/>
        <color theme="1"/>
        <rFont val="Calibri"/>
        <family val="2"/>
        <scheme val="minor"/>
      </rPr>
      <t>80 or above</t>
    </r>
    <r>
      <rPr>
        <sz val="11"/>
        <color theme="1"/>
        <rFont val="Calibri"/>
        <family val="2"/>
        <scheme val="minor"/>
      </rPr>
      <t>.</t>
    </r>
  </si>
  <si>
    <r>
      <t xml:space="preserve">Find the average Basic Salary of </t>
    </r>
    <r>
      <rPr>
        <b/>
        <sz val="11"/>
        <color theme="1"/>
        <rFont val="Calibri"/>
        <family val="2"/>
        <scheme val="minor"/>
      </rPr>
      <t>Finance employees in Bangalore</t>
    </r>
    <r>
      <rPr>
        <sz val="11"/>
        <color theme="1"/>
        <rFont val="Calibri"/>
        <family val="2"/>
        <scheme val="minor"/>
      </rPr>
      <t>.</t>
    </r>
  </si>
  <si>
    <t>TOTAL SALARY</t>
  </si>
  <si>
    <t>TARGET STATUS</t>
  </si>
  <si>
    <t>PERFORMANCE LEVEL</t>
  </si>
  <si>
    <t>ELIGIBLLITY</t>
  </si>
  <si>
    <t>PERFORMENCE SCORE</t>
  </si>
  <si>
    <t>EXPERIENCE CATEGARY</t>
  </si>
  <si>
    <t>SALES PERFORMANCE</t>
  </si>
  <si>
    <t>EMPLOYEE RATING</t>
  </si>
  <si>
    <t>ATTENDENCE CATEGOURY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</si>
</sst>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25"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DED191-2BA5-4F17-A81E-4AFF23AE2B9B}" name="Table2" displayName="Table2" ref="A1:B26" totalsRowShown="0">
  <autoFilter ref="A1:B26" xr:uid="{FADED191-2BA5-4F17-A81E-4AFF23AE2B9B}"/>
  <tableColumns count="2">
    <tableColumn id="1" xr3:uid="{44CBABA1-4746-40C0-BCED-FEF5B6C219BC}" name="No." dataDxfId="3"/>
    <tableColumn id="2" xr3:uid="{E0E553A1-0557-4275-8ACE-CA47773E1D3B}" name="Task" dataDxfId="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4E4E8-7CEF-4746-800C-255F9B30AC86}" name="Table1" displayName="Table1" ref="A1:U21" totalsRowShown="0" headerRowDxfId="24" dataDxfId="23">
  <autoFilter ref="A1:U21" xr:uid="{D0F4E4E8-7CEF-4746-800C-255F9B30AC86}"/>
  <tableColumns count="21">
    <tableColumn id="1" xr3:uid="{5E3565FF-ACB2-40E7-A848-FA86E18D9CAE}" name="Employee_ID" dataDxfId="22"/>
    <tableColumn id="2" xr3:uid="{DCCAA4B3-9584-45B3-A59C-20B1B2DD76BE}" name="Employee_Name" dataDxfId="21"/>
    <tableColumn id="3" xr3:uid="{4D5CAFF5-6D80-4D32-A79E-42B35752E87B}" name="Department" dataDxfId="20"/>
    <tableColumn id="4" xr3:uid="{FC791C6C-B3A2-49B6-A7BC-371CF8043C5E}" name="Location" dataDxfId="19"/>
    <tableColumn id="5" xr3:uid="{E4678D6D-F934-4D5D-A947-D6D0BF1403FC}" name="Experience_Years" dataDxfId="18"/>
    <tableColumn id="19" xr3:uid="{2EC91B65-271C-458F-A22C-4C05834BF867}" name="EXPERIENCE CATEGARY" dataDxfId="17">
      <calculatedColumnFormula array="1">_xlfn.IFS(Table1[[#This Row],[Experience_Years]]&gt;=6,"HIGLY EXPERIANCED",Table1[[#This Row],[Experience_Years]]&gt;=3,"EXPERIANCED",Table1[[#This Row],[Experience_Years]]&gt;=1,"BEGINER")</calculatedColumnFormula>
    </tableColumn>
    <tableColumn id="6" xr3:uid="{6C286D7C-089B-475E-A2BB-EABEEDB95C40}" name="Basic_Salary" dataDxfId="16"/>
    <tableColumn id="7" xr3:uid="{D2CE77D7-A447-4479-AC6F-B36FE539A83E}" name="Bonus" dataDxfId="15"/>
    <tableColumn id="8" xr3:uid="{4A855CD9-1203-48B2-8839-B34EB9B0D14D}" name="Sales_Target" dataDxfId="14"/>
    <tableColumn id="9" xr3:uid="{15055C01-E486-4A11-9E30-59BCF2FDA43F}" name="Sales_Achieved" dataDxfId="13"/>
    <tableColumn id="21" xr3:uid="{C0F7D75B-6F7B-4FD8-8566-CA048E74AB07}" name="SALES PERFORMANCE" dataDxfId="12">
      <calculatedColumnFormula array="1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calculatedColumnFormula>
    </tableColumn>
    <tableColumn id="10" xr3:uid="{50AB2599-EC5D-4488-9F5A-7B927C662DF6}" name="Performance_Score" dataDxfId="11"/>
    <tableColumn id="25" xr3:uid="{885C5554-5418-4848-B31A-2CA320EAEA3B}" name="EMPLOYEE RATING" dataDxfId="10">
      <calculatedColumnFormula array="1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calculatedColumnFormula>
    </tableColumn>
    <tableColumn id="18" xr3:uid="{E6DDE8FE-ABAD-4267-B032-A0C7F18BB541}" name="PERFORMENCE SCORE" dataDxfId="9">
      <calculatedColumnFormula array="1">_xlfn.IFS(Table1[[#This Row],[Performance_Score]]&gt;=90,"EXCELLENT",Table1[[#This Row],[Performance_Score]]&gt;=80,"GOOD",Table1[[#This Row],[Performance_Score]]&gt;=70,"AVERAGE",Table1[[#This Row],[Performance_Score]]&lt;70,"NEED IMPROVEMENT")</calculatedColumnFormula>
    </tableColumn>
    <tableColumn id="11" xr3:uid="{42BF8C6D-4E77-4936-A2A2-0BBF3844A08D}" name="Attendance_%" dataDxfId="8"/>
    <tableColumn id="17" xr3:uid="{AB1DEDD4-4868-48D5-A48D-D0826AE5ADCE}" name="ATTENDENCE CATEGOURY" dataDxfId="0">
      <calculatedColumnFormula array="1">_xlfn.IFS(Table1[[#This Row],[Attendance_%]]&gt;=95,"EXCELLENT ATTENDENCE",Table1[[#This Row],[Attendance_%]]&gt;=90,"GOOD ATTENDENCE",Table1[[#This Row],[Attendance_%]]&gt;=85,"AVERAGE ATTENDENCE",Table1[[#This Row],[Attendance_%]]&lt;85,"POOR ATTENDENCE")</calculatedColumnFormula>
    </tableColumn>
    <tableColumn id="12" xr3:uid="{F239655F-EBD8-49E7-8844-1D2A9C0BE9C7}" name="Overtime_Hours" dataDxfId="7"/>
    <tableColumn id="13" xr3:uid="{1985094B-51F9-4075-BBC5-383B662554F9}" name="TOTAL SALARY" dataDxfId="6">
      <calculatedColumnFormula>SUM(Table1[[#This Row],[Basic_Salary]],Table1[[#This Row],[Bonus]])</calculatedColumnFormula>
    </tableColumn>
    <tableColumn id="14" xr3:uid="{B45CACC3-3620-4FF6-86F5-C7D15B60149F}" name="TARGET STATUS" dataDxfId="5">
      <calculatedColumnFormula>IF(Table1[[#This Row],[Sales_Achieved]]&gt;=Table1[[#This Row],[Sales_Target]],"ACHIVED","NOT ACHIVED")</calculatedColumnFormula>
    </tableColumn>
    <tableColumn id="15" xr3:uid="{BC935C39-82A8-4B29-8198-E083342A0F43}" name="PERFORMANCE LEVEL" dataDxfId="1">
      <calculatedColumnFormula>IF(AND(Table1[[#This Row],[Performance_Score]]&gt;85,Table1[[#This Row],[Attendance_%]]&gt;90),"EXCELLENT","NEED IMPROVEMENT")</calculatedColumnFormula>
    </tableColumn>
    <tableColumn id="16" xr3:uid="{3361F44A-7EC0-42FB-8EDE-C503CF6BF74D}" name="ELIGIBLLITY" dataDxfId="4">
      <calculatedColumnFormula>IF(OR(Table1[[#This Row],[Department]]=C4,Table1[[#This Row],[Department]]=C5),"ELIGIBLE","NOT ELIGIBLE")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CB9D-B4FB-4B46-BB3D-2C6843CEAF71}">
  <dimension ref="A1:B26"/>
  <sheetViews>
    <sheetView topLeftCell="A4" zoomScale="118" workbookViewId="0">
      <selection activeCell="B18" sqref="B18"/>
    </sheetView>
  </sheetViews>
  <sheetFormatPr defaultRowHeight="14.5" x14ac:dyDescent="0.35"/>
  <cols>
    <col min="2" max="2" width="170.26953125" customWidth="1"/>
  </cols>
  <sheetData>
    <row r="1" spans="1:2" x14ac:dyDescent="0.35">
      <c r="A1" s="3" t="s">
        <v>59</v>
      </c>
      <c r="B1" s="1" t="s">
        <v>60</v>
      </c>
    </row>
    <row r="2" spans="1:2" x14ac:dyDescent="0.35">
      <c r="A2" s="2">
        <v>1</v>
      </c>
      <c r="B2" s="4" t="s">
        <v>61</v>
      </c>
    </row>
    <row r="3" spans="1:2" x14ac:dyDescent="0.35">
      <c r="A3" s="2">
        <v>2</v>
      </c>
      <c r="B3" s="4" t="s">
        <v>62</v>
      </c>
    </row>
    <row r="4" spans="1:2" x14ac:dyDescent="0.35">
      <c r="A4" s="2">
        <v>3</v>
      </c>
      <c r="B4" s="4" t="s">
        <v>63</v>
      </c>
    </row>
    <row r="5" spans="1:2" x14ac:dyDescent="0.35">
      <c r="A5" s="2">
        <v>4</v>
      </c>
      <c r="B5" s="4" t="s">
        <v>64</v>
      </c>
    </row>
    <row r="6" spans="1:2" x14ac:dyDescent="0.35">
      <c r="A6" s="2">
        <v>5</v>
      </c>
      <c r="B6" s="4" t="s">
        <v>65</v>
      </c>
    </row>
    <row r="7" spans="1:2" x14ac:dyDescent="0.35">
      <c r="A7" s="2">
        <v>6</v>
      </c>
      <c r="B7" s="4" t="s">
        <v>66</v>
      </c>
    </row>
    <row r="8" spans="1:2" x14ac:dyDescent="0.35">
      <c r="A8" s="2">
        <v>7</v>
      </c>
      <c r="B8" s="4" t="s">
        <v>67</v>
      </c>
    </row>
    <row r="9" spans="1:2" x14ac:dyDescent="0.35">
      <c r="A9" s="2">
        <v>8</v>
      </c>
      <c r="B9" s="4" t="s">
        <v>68</v>
      </c>
    </row>
    <row r="10" spans="1:2" x14ac:dyDescent="0.35">
      <c r="A10" s="2">
        <v>9</v>
      </c>
      <c r="B10" s="4" t="s">
        <v>69</v>
      </c>
    </row>
    <row r="11" spans="1:2" x14ac:dyDescent="0.35">
      <c r="A11" s="2">
        <v>10</v>
      </c>
      <c r="B11" s="4" t="s">
        <v>70</v>
      </c>
    </row>
    <row r="12" spans="1:2" x14ac:dyDescent="0.35">
      <c r="A12" s="2">
        <v>11</v>
      </c>
      <c r="B12" s="4" t="s">
        <v>71</v>
      </c>
    </row>
    <row r="13" spans="1:2" x14ac:dyDescent="0.35">
      <c r="A13" s="2">
        <v>12</v>
      </c>
      <c r="B13" s="4" t="s">
        <v>72</v>
      </c>
    </row>
    <row r="14" spans="1:2" x14ac:dyDescent="0.35">
      <c r="A14" s="2">
        <v>13</v>
      </c>
      <c r="B14" s="4" t="s">
        <v>73</v>
      </c>
    </row>
    <row r="15" spans="1:2" x14ac:dyDescent="0.35">
      <c r="A15" s="2">
        <v>14</v>
      </c>
      <c r="B15" s="4" t="s">
        <v>74</v>
      </c>
    </row>
    <row r="16" spans="1:2" x14ac:dyDescent="0.35">
      <c r="A16" s="2">
        <v>15</v>
      </c>
      <c r="B16" s="4" t="s">
        <v>75</v>
      </c>
    </row>
    <row r="17" spans="1:2" x14ac:dyDescent="0.35">
      <c r="A17" s="2">
        <v>16</v>
      </c>
      <c r="B17" s="4" t="s">
        <v>76</v>
      </c>
    </row>
    <row r="18" spans="1:2" x14ac:dyDescent="0.35">
      <c r="A18" s="2">
        <v>17</v>
      </c>
      <c r="B18" s="4" t="s">
        <v>77</v>
      </c>
    </row>
    <row r="19" spans="1:2" x14ac:dyDescent="0.35">
      <c r="A19" s="2">
        <v>18</v>
      </c>
      <c r="B19" s="4" t="s">
        <v>78</v>
      </c>
    </row>
    <row r="20" spans="1:2" x14ac:dyDescent="0.35">
      <c r="A20" s="2">
        <v>19</v>
      </c>
      <c r="B20" s="4" t="s">
        <v>79</v>
      </c>
    </row>
    <row r="21" spans="1:2" x14ac:dyDescent="0.35">
      <c r="A21" s="2">
        <v>20</v>
      </c>
      <c r="B21" s="4" t="s">
        <v>80</v>
      </c>
    </row>
    <row r="22" spans="1:2" x14ac:dyDescent="0.35">
      <c r="A22" s="2">
        <v>21</v>
      </c>
      <c r="B22" s="4" t="s">
        <v>81</v>
      </c>
    </row>
    <row r="23" spans="1:2" x14ac:dyDescent="0.35">
      <c r="A23" s="2">
        <v>22</v>
      </c>
      <c r="B23" s="4" t="s">
        <v>82</v>
      </c>
    </row>
    <row r="24" spans="1:2" x14ac:dyDescent="0.35">
      <c r="A24" s="2">
        <v>23</v>
      </c>
      <c r="B24" s="4" t="s">
        <v>83</v>
      </c>
    </row>
    <row r="25" spans="1:2" x14ac:dyDescent="0.35">
      <c r="A25" s="2">
        <v>24</v>
      </c>
      <c r="B25" s="4" t="s">
        <v>84</v>
      </c>
    </row>
    <row r="26" spans="1:2" x14ac:dyDescent="0.35">
      <c r="A26" s="2">
        <v>25</v>
      </c>
      <c r="B26" s="4" t="s">
        <v>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22A3-EAAF-4616-8502-D07194D51224}">
  <dimension ref="A1:U44"/>
  <sheetViews>
    <sheetView tabSelected="1" topLeftCell="F1" zoomScale="77" workbookViewId="0">
      <selection activeCell="P3" sqref="P3"/>
    </sheetView>
  </sheetViews>
  <sheetFormatPr defaultRowHeight="14.5" x14ac:dyDescent="0.35"/>
  <cols>
    <col min="1" max="1" width="14.81640625" customWidth="1"/>
    <col min="2" max="2" width="18.26953125" customWidth="1"/>
    <col min="3" max="3" width="13.81640625" customWidth="1"/>
    <col min="4" max="4" width="10.54296875" customWidth="1"/>
    <col min="5" max="5" width="14.26953125" customWidth="1"/>
    <col min="6" max="6" width="13.81640625" customWidth="1"/>
    <col min="8" max="8" width="14.26953125" customWidth="1"/>
    <col min="9" max="9" width="17" customWidth="1"/>
    <col min="10" max="10" width="20.453125" customWidth="1"/>
    <col min="11" max="11" width="16" customWidth="1"/>
    <col min="12" max="12" width="17.7265625" customWidth="1"/>
    <col min="15" max="15" width="11.1796875" customWidth="1"/>
    <col min="16" max="16" width="19" customWidth="1"/>
  </cols>
  <sheetData>
    <row r="1" spans="1:21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91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92</v>
      </c>
      <c r="L1" s="3" t="s">
        <v>9</v>
      </c>
      <c r="M1" s="3" t="s">
        <v>93</v>
      </c>
      <c r="N1" s="3" t="s">
        <v>90</v>
      </c>
      <c r="O1" s="3" t="s">
        <v>10</v>
      </c>
      <c r="P1" s="3" t="s">
        <v>94</v>
      </c>
      <c r="Q1" s="3" t="s">
        <v>11</v>
      </c>
      <c r="R1" s="3" t="s">
        <v>86</v>
      </c>
      <c r="S1" s="3" t="s">
        <v>87</v>
      </c>
      <c r="T1" s="3" t="s">
        <v>88</v>
      </c>
      <c r="U1" s="3" t="s">
        <v>89</v>
      </c>
    </row>
    <row r="2" spans="1:21" ht="43.5" x14ac:dyDescent="0.35">
      <c r="A2" s="4" t="s">
        <v>12</v>
      </c>
      <c r="B2" s="4" t="s">
        <v>13</v>
      </c>
      <c r="C2" s="4" t="s">
        <v>14</v>
      </c>
      <c r="D2" s="4" t="s">
        <v>15</v>
      </c>
      <c r="E2" s="2">
        <v>2</v>
      </c>
      <c r="F2" s="2" t="str" cm="1">
        <f t="array" ref="F2">_xlfn.IFS(Table1[[#This Row],[Experience_Years]]&gt;=6,"HIGLY EXPERIANCED",Table1[[#This Row],[Experience_Years]]&gt;=3,"EXPERIANCED",Table1[[#This Row],[Experience_Years]]&gt;=1,"BEGINER")</f>
        <v>BEGINER</v>
      </c>
      <c r="G2" s="2">
        <v>28000</v>
      </c>
      <c r="H2" s="2">
        <v>4000</v>
      </c>
      <c r="I2" s="2">
        <v>300000</v>
      </c>
      <c r="J2" s="2">
        <v>325000</v>
      </c>
      <c r="K2" s="2" t="str" cm="1">
        <f t="array" ref="K2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2" s="2">
        <v>85</v>
      </c>
      <c r="M2" s="2" t="str" cm="1">
        <f t="array" ref="M2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GOOD</v>
      </c>
      <c r="N2" s="2" t="str" cm="1">
        <f t="array" ref="N2">_xlfn.IFS(Table1[[#This Row],[Performance_Score]]&gt;=90,"EXCELLENT",Table1[[#This Row],[Performance_Score]]&gt;=80,"GOOD",Table1[[#This Row],[Performance_Score]]&gt;=70,"AVERAGE",Table1[[#This Row],[Performance_Score]]&lt;70,"NEED IMPROVEMENT")</f>
        <v>GOOD</v>
      </c>
      <c r="O2" s="2">
        <v>94</v>
      </c>
      <c r="P2" s="2" t="str" cm="1">
        <f t="array" ref="P2">_xlfn.IFS(Table1[[#This Row],[Attendance_%]]&gt;=95,"EXCELLENT ATTENDENCE",Table1[[#This Row],[Attendance_%]]&gt;=90,"GOOD ATTENDENCE",Table1[[#This Row],[Attendance_%]]&gt;=85,"AVERAGE ATTENDENCE",Table1[[#This Row],[Attendance_%]]&lt;85,"POOR ATTENDENCE")</f>
        <v>GOOD ATTENDENCE</v>
      </c>
      <c r="Q2" s="2">
        <v>12</v>
      </c>
      <c r="R2" s="2">
        <f>SUM(Table1[[#This Row],[Basic_Salary]],Table1[[#This Row],[Bonus]])</f>
        <v>32000</v>
      </c>
      <c r="S2" s="2" t="str">
        <f>IF(Table1[[#This Row],[Sales_Achieved]]&gt;=Table1[[#This Row],[Sales_Target]],"ACHIVED","NOT ACHIVED")</f>
        <v>ACHIVED</v>
      </c>
      <c r="T2" s="2" t="str">
        <f>IF(AND(Table1[[#This Row],[Performance_Score]]&gt;85,Table1[[#This Row],[Attendance_%]]&gt;90),"EXCELLENT","NEED IMPROVEMENT")</f>
        <v>NEED IMPROVEMENT</v>
      </c>
      <c r="U2" s="2" t="str">
        <f>IF(OR(Table1[[#This Row],[Department]]=C4,Table1[[#This Row],[Department]]=C5),"ELIGIBLE","NOT ELIGIBLE")</f>
        <v>NOT ELIGIBLE</v>
      </c>
    </row>
    <row r="3" spans="1:21" ht="43.5" x14ac:dyDescent="0.35">
      <c r="A3" s="4" t="s">
        <v>16</v>
      </c>
      <c r="B3" s="4" t="s">
        <v>17</v>
      </c>
      <c r="C3" s="4" t="s">
        <v>18</v>
      </c>
      <c r="D3" s="4" t="s">
        <v>19</v>
      </c>
      <c r="E3" s="2">
        <v>4</v>
      </c>
      <c r="F3" s="2" t="str" cm="1">
        <f t="array" ref="F3">_xlfn.IFS(Table1[[#This Row],[Experience_Years]]&gt;=6,"HIGLY EXPERIANCED",Table1[[#This Row],[Experience_Years]]&gt;=3,"EXPERIANCED",Table1[[#This Row],[Experience_Years]]&gt;=1,"BEGINER")</f>
        <v>EXPERIANCED</v>
      </c>
      <c r="G3" s="2">
        <v>35000</v>
      </c>
      <c r="H3" s="2">
        <v>3500</v>
      </c>
      <c r="I3" s="2">
        <v>150000</v>
      </c>
      <c r="J3" s="2">
        <v>142000</v>
      </c>
      <c r="K3" s="2" t="str" cm="1">
        <f t="array" ref="K3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NEAR TARGET</v>
      </c>
      <c r="L3" s="2">
        <v>78</v>
      </c>
      <c r="M3" s="2" t="str" cm="1">
        <f t="array" ref="M3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SATISFACTORY</v>
      </c>
      <c r="N3" s="2" t="str" cm="1">
        <f t="array" ref="N3">_xlfn.IFS(Table1[[#This Row],[Performance_Score]]&gt;=90,"EXCELLENT",Table1[[#This Row],[Performance_Score]]&gt;=80,"GOOD",Table1[[#This Row],[Performance_Score]]&gt;=70,"AVERAGE",Table1[[#This Row],[Performance_Score]]&lt;70,"NEED IMPROVEMENT")</f>
        <v>AVERAGE</v>
      </c>
      <c r="O3" s="2">
        <v>91</v>
      </c>
      <c r="P3" s="2" t="str" cm="1">
        <f t="array" ref="P3">_xlfn.IFS(Table1[[#This Row],[Attendance_%]]&gt;=95,"EXCELLENT ATTENDENCE",Table1[[#This Row],[Attendance_%]]&gt;=90,"GOOD ATTENDENCE",Table1[[#This Row],[Attendance_%]]&gt;=85,"AVERAGE ATTENDENCE",Table1[[#This Row],[Attendance_%]]&lt;85,"POOR ATTENDENCE")</f>
        <v>GOOD ATTENDENCE</v>
      </c>
      <c r="Q3" s="2">
        <v>8</v>
      </c>
      <c r="R3" s="2">
        <f>SUM(Table1[[#This Row],[Basic_Salary]],Table1[[#This Row],[Bonus]])</f>
        <v>38500</v>
      </c>
      <c r="S3" s="2" t="str">
        <f>IF(Table1[[#This Row],[Sales_Achieved]]&gt;=Table1[[#This Row],[Sales_Target]],"ACHIVED","NOT ACHIVED")</f>
        <v>NOT ACHIVED</v>
      </c>
      <c r="T3" s="2" t="str">
        <f>IF(AND(Table1[[#This Row],[Performance_Score]]&gt;85,Table1[[#This Row],[Attendance_%]]&gt;90),"EXCELLENT","NEED IMPROVEMENT")</f>
        <v>NEED IMPROVEMENT</v>
      </c>
      <c r="U3" s="2" t="str">
        <f>IF(OR(Table1[[#This Row],[Department]]=C5,Table1[[#This Row],[Department]]=C6),"ELIGIBLE","NOT ELIGIBLE")</f>
        <v>NOT ELIGIBLE</v>
      </c>
    </row>
    <row r="4" spans="1:21" ht="29" x14ac:dyDescent="0.35">
      <c r="A4" s="4" t="s">
        <v>20</v>
      </c>
      <c r="B4" s="4" t="s">
        <v>21</v>
      </c>
      <c r="C4" s="4" t="s">
        <v>22</v>
      </c>
      <c r="D4" s="4" t="s">
        <v>15</v>
      </c>
      <c r="E4" s="2">
        <v>3</v>
      </c>
      <c r="F4" s="2" t="str" cm="1">
        <f t="array" ref="F4">_xlfn.IFS(Table1[[#This Row],[Experience_Years]]&gt;=6,"HIGLY EXPERIANCED",Table1[[#This Row],[Experience_Years]]&gt;=3,"EXPERIANCED",Table1[[#This Row],[Experience_Years]]&gt;=1,"BEGINER")</f>
        <v>EXPERIANCED</v>
      </c>
      <c r="G4" s="2">
        <v>42000</v>
      </c>
      <c r="H4" s="2">
        <v>6000</v>
      </c>
      <c r="I4" s="2">
        <v>250000</v>
      </c>
      <c r="J4" s="2">
        <v>275000</v>
      </c>
      <c r="K4" s="2" t="str" cm="1">
        <f t="array" ref="K4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4" s="2">
        <v>92</v>
      </c>
      <c r="M4" s="2" t="str" cm="1">
        <f t="array" ref="M4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EXCELLENT</v>
      </c>
      <c r="N4" s="2" t="str" cm="1">
        <f t="array" ref="N4">_xlfn.IFS(Table1[[#This Row],[Performance_Score]]&gt;=90,"EXCELLENT",Table1[[#This Row],[Performance_Score]]&gt;=80,"GOOD",Table1[[#This Row],[Performance_Score]]&gt;=70,"AVERAGE",Table1[[#This Row],[Performance_Score]]&lt;70,"NEED IMPROVEMENT")</f>
        <v>EXCELLENT</v>
      </c>
      <c r="O4" s="2">
        <v>97</v>
      </c>
      <c r="P4" s="2" t="str" cm="1">
        <f t="array" ref="P4">_xlfn.IFS(Table1[[#This Row],[Attendance_%]]&gt;=95,"EXCELLENT ATTENDENCE",Table1[[#This Row],[Attendance_%]]&gt;=90,"GOOD ATTENDENCE",Table1[[#This Row],[Attendance_%]]&gt;=85,"AVERAGE ATTENDENCE",Table1[[#This Row],[Attendance_%]]&lt;85,"POOR ATTENDENCE")</f>
        <v>EXCELLENT ATTENDENCE</v>
      </c>
      <c r="Q4" s="2">
        <v>15</v>
      </c>
      <c r="R4" s="2">
        <f>SUM(Table1[[#This Row],[Basic_Salary]],Table1[[#This Row],[Bonus]])</f>
        <v>48000</v>
      </c>
      <c r="S4" s="2" t="str">
        <f>IF(Table1[[#This Row],[Sales_Achieved]]&gt;=Table1[[#This Row],[Sales_Target]],"ACHIVED","NOT ACHIVED")</f>
        <v>ACHIVED</v>
      </c>
      <c r="T4" s="2" t="str">
        <f>IF(AND(Table1[[#This Row],[Performance_Score]]&gt;85,Table1[[#This Row],[Attendance_%]]&gt;90),"EXCELLENT","NEED IMPROVEMENT")</f>
        <v>EXCELLENT</v>
      </c>
      <c r="U4" s="2" t="str">
        <f>IF(OR(Table1[[#This Row],[Department]]=C6,Table1[[#This Row],[Department]]=C7),"ELIGIBLE","NOT ELIGIBLE")</f>
        <v>ELIGIBLE</v>
      </c>
    </row>
    <row r="5" spans="1:21" ht="29" x14ac:dyDescent="0.35">
      <c r="A5" s="4" t="s">
        <v>23</v>
      </c>
      <c r="B5" s="4" t="s">
        <v>24</v>
      </c>
      <c r="C5" s="4" t="s">
        <v>25</v>
      </c>
      <c r="D5" s="4" t="s">
        <v>26</v>
      </c>
      <c r="E5" s="2">
        <v>5</v>
      </c>
      <c r="F5" s="2" t="str" cm="1">
        <f t="array" ref="F5">_xlfn.IFS(Table1[[#This Row],[Experience_Years]]&gt;=6,"HIGLY EXPERIANCED",Table1[[#This Row],[Experience_Years]]&gt;=3,"EXPERIANCED",Table1[[#This Row],[Experience_Years]]&gt;=1,"BEGINER")</f>
        <v>EXPERIANCED</v>
      </c>
      <c r="G5" s="2">
        <v>48000</v>
      </c>
      <c r="H5" s="2">
        <v>5500</v>
      </c>
      <c r="I5" s="2">
        <v>200000</v>
      </c>
      <c r="J5" s="2">
        <v>210000</v>
      </c>
      <c r="K5" s="2" t="str" cm="1">
        <f t="array" ref="K5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5" s="2">
        <v>88</v>
      </c>
      <c r="M5" s="2" t="str" cm="1">
        <f t="array" ref="M5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GOOD</v>
      </c>
      <c r="N5" s="2" t="str" cm="1">
        <f t="array" ref="N5">_xlfn.IFS(Table1[[#This Row],[Performance_Score]]&gt;=90,"EXCELLENT",Table1[[#This Row],[Performance_Score]]&gt;=80,"GOOD",Table1[[#This Row],[Performance_Score]]&gt;=70,"AVERAGE",Table1[[#This Row],[Performance_Score]]&lt;70,"NEED IMPROVEMENT")</f>
        <v>GOOD</v>
      </c>
      <c r="O5" s="2">
        <v>95</v>
      </c>
      <c r="P5" s="2" t="str" cm="1">
        <f t="array" ref="P5">_xlfn.IFS(Table1[[#This Row],[Attendance_%]]&gt;=95,"EXCELLENT ATTENDENCE",Table1[[#This Row],[Attendance_%]]&gt;=90,"GOOD ATTENDENCE",Table1[[#This Row],[Attendance_%]]&gt;=85,"AVERAGE ATTENDENCE",Table1[[#This Row],[Attendance_%]]&lt;85,"POOR ATTENDENCE")</f>
        <v>EXCELLENT ATTENDENCE</v>
      </c>
      <c r="Q5" s="2">
        <v>10</v>
      </c>
      <c r="R5" s="2">
        <f>SUM(Table1[[#This Row],[Basic_Salary]],Table1[[#This Row],[Bonus]])</f>
        <v>53500</v>
      </c>
      <c r="S5" s="2" t="str">
        <f>IF(Table1[[#This Row],[Sales_Achieved]]&gt;=Table1[[#This Row],[Sales_Target]],"ACHIVED","NOT ACHIVED")</f>
        <v>ACHIVED</v>
      </c>
      <c r="T5" s="2" t="str">
        <f>IF(AND(Table1[[#This Row],[Performance_Score]]&gt;85,Table1[[#This Row],[Attendance_%]]&gt;90),"EXCELLENT","NEED IMPROVEMENT")</f>
        <v>EXCELLENT</v>
      </c>
      <c r="U5" s="2" t="str">
        <f>IF(OR(Table1[[#This Row],[Department]]=C7,Table1[[#This Row],[Department]]=C8),"ELIGIBLE","NOT ELIGIBLE")</f>
        <v>NOT ELIGIBLE</v>
      </c>
    </row>
    <row r="6" spans="1:21" ht="43.5" x14ac:dyDescent="0.35">
      <c r="A6" s="4" t="s">
        <v>27</v>
      </c>
      <c r="B6" s="4" t="s">
        <v>28</v>
      </c>
      <c r="C6" s="4" t="s">
        <v>14</v>
      </c>
      <c r="D6" s="4" t="s">
        <v>19</v>
      </c>
      <c r="E6" s="2">
        <v>1</v>
      </c>
      <c r="F6" s="2" t="str" cm="1">
        <f t="array" ref="F6">_xlfn.IFS(Table1[[#This Row],[Experience_Years]]&gt;=6,"HIGLY EXPERIANCED",Table1[[#This Row],[Experience_Years]]&gt;=3,"EXPERIANCED",Table1[[#This Row],[Experience_Years]]&gt;=1,"BEGINER")</f>
        <v>BEGINER</v>
      </c>
      <c r="G6" s="2">
        <v>26000</v>
      </c>
      <c r="H6" s="2">
        <v>3000</v>
      </c>
      <c r="I6" s="2">
        <v>280000</v>
      </c>
      <c r="J6" s="2">
        <v>250000</v>
      </c>
      <c r="K6" s="2" t="str" cm="1">
        <f t="array" ref="K6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BELOW TARGET</v>
      </c>
      <c r="L6" s="2">
        <v>69</v>
      </c>
      <c r="M6" s="2" t="str" cm="1">
        <f t="array" ref="M6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NEED IMROVEMENT</v>
      </c>
      <c r="N6" s="2" t="str" cm="1">
        <f t="array" ref="N6">_xlfn.IFS(Table1[[#This Row],[Performance_Score]]&gt;=90,"EXCELLENT",Table1[[#This Row],[Performance_Score]]&gt;=80,"GOOD",Table1[[#This Row],[Performance_Score]]&gt;=70,"AVERAGE",Table1[[#This Row],[Performance_Score]]&lt;70,"NEED IMPROVEMENT")</f>
        <v>NEED IMPROVEMENT</v>
      </c>
      <c r="O6" s="2">
        <v>86</v>
      </c>
      <c r="P6" s="2" t="str" cm="1">
        <f t="array" ref="P6">_xlfn.IFS(Table1[[#This Row],[Attendance_%]]&gt;=95,"EXCELLENT ATTENDENCE",Table1[[#This Row],[Attendance_%]]&gt;=90,"GOOD ATTENDENCE",Table1[[#This Row],[Attendance_%]]&gt;=85,"AVERAGE ATTENDENCE",Table1[[#This Row],[Attendance_%]]&lt;85,"POOR ATTENDENCE")</f>
        <v>AVERAGE ATTENDENCE</v>
      </c>
      <c r="Q6" s="2">
        <v>6</v>
      </c>
      <c r="R6" s="2">
        <f>SUM(Table1[[#This Row],[Basic_Salary]],Table1[[#This Row],[Bonus]])</f>
        <v>29000</v>
      </c>
      <c r="S6" s="2" t="str">
        <f>IF(Table1[[#This Row],[Sales_Achieved]]&gt;=Table1[[#This Row],[Sales_Target]],"ACHIVED","NOT ACHIVED")</f>
        <v>NOT ACHIVED</v>
      </c>
      <c r="T6" s="2" t="str">
        <f>IF(AND(Table1[[#This Row],[Performance_Score]]&gt;85,Table1[[#This Row],[Attendance_%]]&gt;90),"EXCELLENT","NEED IMPROVEMENT")</f>
        <v>NEED IMPROVEMENT</v>
      </c>
      <c r="U6" s="2" t="str">
        <f>IF(OR(Table1[[#This Row],[Department]]=C8,Table1[[#This Row],[Department]]=C9),"ELIGIBLE","NOT ELIGIBLE")</f>
        <v>ELIGIBLE</v>
      </c>
    </row>
    <row r="7" spans="1:21" ht="29" x14ac:dyDescent="0.35">
      <c r="A7" s="4" t="s">
        <v>29</v>
      </c>
      <c r="B7" s="4" t="s">
        <v>30</v>
      </c>
      <c r="C7" s="4" t="s">
        <v>22</v>
      </c>
      <c r="D7" s="4" t="s">
        <v>15</v>
      </c>
      <c r="E7" s="2">
        <v>6</v>
      </c>
      <c r="F7" s="2" t="str" cm="1">
        <f t="array" ref="F7">_xlfn.IFS(Table1[[#This Row],[Experience_Years]]&gt;=6,"HIGLY EXPERIANCED",Table1[[#This Row],[Experience_Years]]&gt;=3,"EXPERIANCED",Table1[[#This Row],[Experience_Years]]&gt;=1,"BEGINER")</f>
        <v>HIGLY EXPERIANCED</v>
      </c>
      <c r="G7" s="2">
        <v>55000</v>
      </c>
      <c r="H7" s="2">
        <v>7500</v>
      </c>
      <c r="I7" s="2">
        <v>350000</v>
      </c>
      <c r="J7" s="2">
        <v>390000</v>
      </c>
      <c r="K7" s="2" t="str" cm="1">
        <f t="array" ref="K7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7" s="2">
        <v>96</v>
      </c>
      <c r="M7" s="2" t="str" cm="1">
        <f t="array" ref="M7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OUTSTANDING</v>
      </c>
      <c r="N7" s="2" t="str" cm="1">
        <f t="array" ref="N7">_xlfn.IFS(Table1[[#This Row],[Performance_Score]]&gt;=90,"EXCELLENT",Table1[[#This Row],[Performance_Score]]&gt;=80,"GOOD",Table1[[#This Row],[Performance_Score]]&gt;=70,"AVERAGE",Table1[[#This Row],[Performance_Score]]&lt;70,"NEED IMPROVEMENT")</f>
        <v>EXCELLENT</v>
      </c>
      <c r="O7" s="2">
        <v>98</v>
      </c>
      <c r="P7" s="2" t="str" cm="1">
        <f t="array" ref="P7">_xlfn.IFS(Table1[[#This Row],[Attendance_%]]&gt;=95,"EXCELLENT ATTENDENCE",Table1[[#This Row],[Attendance_%]]&gt;=90,"GOOD ATTENDENCE",Table1[[#This Row],[Attendance_%]]&gt;=85,"AVERAGE ATTENDENCE",Table1[[#This Row],[Attendance_%]]&lt;85,"POOR ATTENDENCE")</f>
        <v>EXCELLENT ATTENDENCE</v>
      </c>
      <c r="Q7" s="2">
        <v>18</v>
      </c>
      <c r="R7" s="2">
        <f>SUM(Table1[[#This Row],[Basic_Salary]],Table1[[#This Row],[Bonus]])</f>
        <v>62500</v>
      </c>
      <c r="S7" s="2" t="str">
        <f>IF(Table1[[#This Row],[Sales_Achieved]]&gt;=Table1[[#This Row],[Sales_Target]],"ACHIVED","NOT ACHIVED")</f>
        <v>ACHIVED</v>
      </c>
      <c r="T7" s="2" t="str">
        <f>IF(AND(Table1[[#This Row],[Performance_Score]]&gt;85,Table1[[#This Row],[Attendance_%]]&gt;90),"EXCELLENT","NEED IMPROVEMENT")</f>
        <v>EXCELLENT</v>
      </c>
      <c r="U7" s="2" t="str">
        <f>IF(OR(Table1[[#This Row],[Department]]=C9,Table1[[#This Row],[Department]]=C10),"ELIGIBLE","NOT ELIGIBLE")</f>
        <v>NOT ELIGIBLE</v>
      </c>
    </row>
    <row r="8" spans="1:21" ht="43.5" x14ac:dyDescent="0.35">
      <c r="A8" s="4" t="s">
        <v>31</v>
      </c>
      <c r="B8" s="4" t="s">
        <v>32</v>
      </c>
      <c r="C8" s="4" t="s">
        <v>18</v>
      </c>
      <c r="D8" s="4" t="s">
        <v>26</v>
      </c>
      <c r="E8" s="2">
        <v>2</v>
      </c>
      <c r="F8" s="2" t="str" cm="1">
        <f t="array" ref="F8">_xlfn.IFS(Table1[[#This Row],[Experience_Years]]&gt;=6,"HIGLY EXPERIANCED",Table1[[#This Row],[Experience_Years]]&gt;=3,"EXPERIANCED",Table1[[#This Row],[Experience_Years]]&gt;=1,"BEGINER")</f>
        <v>BEGINER</v>
      </c>
      <c r="G8" s="2">
        <v>32000</v>
      </c>
      <c r="H8" s="2">
        <v>2500</v>
      </c>
      <c r="I8" s="2">
        <v>140000</v>
      </c>
      <c r="J8" s="2">
        <v>155000</v>
      </c>
      <c r="K8" s="2" t="str" cm="1">
        <f t="array" ref="K8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8" s="2">
        <v>81</v>
      </c>
      <c r="M8" s="2" t="str" cm="1">
        <f t="array" ref="M8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GOOD</v>
      </c>
      <c r="N8" s="2" t="str" cm="1">
        <f t="array" ref="N8">_xlfn.IFS(Table1[[#This Row],[Performance_Score]]&gt;=90,"EXCELLENT",Table1[[#This Row],[Performance_Score]]&gt;=80,"GOOD",Table1[[#This Row],[Performance_Score]]&gt;=70,"AVERAGE",Table1[[#This Row],[Performance_Score]]&lt;70,"NEED IMPROVEMENT")</f>
        <v>GOOD</v>
      </c>
      <c r="O8" s="2">
        <v>93</v>
      </c>
      <c r="P8" s="2" t="str" cm="1">
        <f t="array" ref="P8">_xlfn.IFS(Table1[[#This Row],[Attendance_%]]&gt;=95,"EXCELLENT ATTENDENCE",Table1[[#This Row],[Attendance_%]]&gt;=90,"GOOD ATTENDENCE",Table1[[#This Row],[Attendance_%]]&gt;=85,"AVERAGE ATTENDENCE",Table1[[#This Row],[Attendance_%]]&lt;85,"POOR ATTENDENCE")</f>
        <v>GOOD ATTENDENCE</v>
      </c>
      <c r="Q8" s="2">
        <v>7</v>
      </c>
      <c r="R8" s="2">
        <f>SUM(Table1[[#This Row],[Basic_Salary]],Table1[[#This Row],[Bonus]])</f>
        <v>34500</v>
      </c>
      <c r="S8" s="2" t="str">
        <f>IF(Table1[[#This Row],[Sales_Achieved]]&gt;=Table1[[#This Row],[Sales_Target]],"ACHIVED","NOT ACHIVED")</f>
        <v>ACHIVED</v>
      </c>
      <c r="T8" s="2" t="str">
        <f>IF(AND(Table1[[#This Row],[Performance_Score]]&gt;85,Table1[[#This Row],[Attendance_%]]&gt;90),"EXCELLENT","NEED IMPROVEMENT")</f>
        <v>NEED IMPROVEMENT</v>
      </c>
      <c r="U8" s="2" t="str">
        <f>IF(OR(Table1[[#This Row],[Department]]=C10,Table1[[#This Row],[Department]]=C11),"ELIGIBLE","NOT ELIGIBLE")</f>
        <v>NOT ELIGIBLE</v>
      </c>
    </row>
    <row r="9" spans="1:21" ht="29" x14ac:dyDescent="0.35">
      <c r="A9" s="4" t="s">
        <v>33</v>
      </c>
      <c r="B9" s="4" t="s">
        <v>34</v>
      </c>
      <c r="C9" s="4" t="s">
        <v>14</v>
      </c>
      <c r="D9" s="4" t="s">
        <v>15</v>
      </c>
      <c r="E9" s="2">
        <v>4</v>
      </c>
      <c r="F9" s="2" t="str" cm="1">
        <f t="array" ref="F9">_xlfn.IFS(Table1[[#This Row],[Experience_Years]]&gt;=6,"HIGLY EXPERIANCED",Table1[[#This Row],[Experience_Years]]&gt;=3,"EXPERIANCED",Table1[[#This Row],[Experience_Years]]&gt;=1,"BEGINER")</f>
        <v>EXPERIANCED</v>
      </c>
      <c r="G9" s="2">
        <v>39000</v>
      </c>
      <c r="H9" s="2">
        <v>5000</v>
      </c>
      <c r="I9" s="2">
        <v>320000</v>
      </c>
      <c r="J9" s="2">
        <v>340000</v>
      </c>
      <c r="K9" s="2" t="str" cm="1">
        <f t="array" ref="K9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9" s="2">
        <v>89</v>
      </c>
      <c r="M9" s="2" t="str" cm="1">
        <f t="array" ref="M9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GOOD</v>
      </c>
      <c r="N9" s="2" t="str" cm="1">
        <f t="array" ref="N9">_xlfn.IFS(Table1[[#This Row],[Performance_Score]]&gt;=90,"EXCELLENT",Table1[[#This Row],[Performance_Score]]&gt;=80,"GOOD",Table1[[#This Row],[Performance_Score]]&gt;=70,"AVERAGE",Table1[[#This Row],[Performance_Score]]&lt;70,"NEED IMPROVEMENT")</f>
        <v>GOOD</v>
      </c>
      <c r="O9" s="2">
        <v>96</v>
      </c>
      <c r="P9" s="2" t="str" cm="1">
        <f t="array" ref="P9">_xlfn.IFS(Table1[[#This Row],[Attendance_%]]&gt;=95,"EXCELLENT ATTENDENCE",Table1[[#This Row],[Attendance_%]]&gt;=90,"GOOD ATTENDENCE",Table1[[#This Row],[Attendance_%]]&gt;=85,"AVERAGE ATTENDENCE",Table1[[#This Row],[Attendance_%]]&lt;85,"POOR ATTENDENCE")</f>
        <v>EXCELLENT ATTENDENCE</v>
      </c>
      <c r="Q9" s="2">
        <v>14</v>
      </c>
      <c r="R9" s="2">
        <f>SUM(Table1[[#This Row],[Basic_Salary]],Table1[[#This Row],[Bonus]])</f>
        <v>44000</v>
      </c>
      <c r="S9" s="2" t="str">
        <f>IF(Table1[[#This Row],[Sales_Achieved]]&gt;=Table1[[#This Row],[Sales_Target]],"ACHIVED","NOT ACHIVED")</f>
        <v>ACHIVED</v>
      </c>
      <c r="T9" s="2" t="str">
        <f>IF(AND(Table1[[#This Row],[Performance_Score]]&gt;85,Table1[[#This Row],[Attendance_%]]&gt;90),"EXCELLENT","NEED IMPROVEMENT")</f>
        <v>EXCELLENT</v>
      </c>
      <c r="U9" s="2" t="str">
        <f>IF(OR(Table1[[#This Row],[Department]]=C11,Table1[[#This Row],[Department]]=C12),"ELIGIBLE","NOT ELIGIBLE")</f>
        <v>ELIGIBLE</v>
      </c>
    </row>
    <row r="10" spans="1:21" ht="43.5" x14ac:dyDescent="0.35">
      <c r="A10" s="4" t="s">
        <v>35</v>
      </c>
      <c r="B10" s="4" t="s">
        <v>36</v>
      </c>
      <c r="C10" s="4" t="s">
        <v>25</v>
      </c>
      <c r="D10" s="4" t="s">
        <v>19</v>
      </c>
      <c r="E10" s="2">
        <v>3</v>
      </c>
      <c r="F10" s="2" t="str" cm="1">
        <f t="array" ref="F10">_xlfn.IFS(Table1[[#This Row],[Experience_Years]]&gt;=6,"HIGLY EXPERIANCED",Table1[[#This Row],[Experience_Years]]&gt;=3,"EXPERIANCED",Table1[[#This Row],[Experience_Years]]&gt;=1,"BEGINER")</f>
        <v>EXPERIANCED</v>
      </c>
      <c r="G10" s="2">
        <v>41000</v>
      </c>
      <c r="H10" s="2">
        <v>4500</v>
      </c>
      <c r="I10" s="2">
        <v>180000</v>
      </c>
      <c r="J10" s="2">
        <v>165000</v>
      </c>
      <c r="K10" s="2" t="str" cm="1">
        <f t="array" ref="K10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NEAR TARGET</v>
      </c>
      <c r="L10" s="2">
        <v>74</v>
      </c>
      <c r="M10" s="2" t="str" cm="1">
        <f t="array" ref="M10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SATISFACTORY</v>
      </c>
      <c r="N10" s="2" t="str" cm="1">
        <f t="array" ref="N10">_xlfn.IFS(Table1[[#This Row],[Performance_Score]]&gt;=90,"EXCELLENT",Table1[[#This Row],[Performance_Score]]&gt;=80,"GOOD",Table1[[#This Row],[Performance_Score]]&gt;=70,"AVERAGE",Table1[[#This Row],[Performance_Score]]&lt;70,"NEED IMPROVEMENT")</f>
        <v>AVERAGE</v>
      </c>
      <c r="O10" s="2">
        <v>89</v>
      </c>
      <c r="P10" s="2" t="str" cm="1">
        <f t="array" ref="P10">_xlfn.IFS(Table1[[#This Row],[Attendance_%]]&gt;=95,"EXCELLENT ATTENDENCE",Table1[[#This Row],[Attendance_%]]&gt;=90,"GOOD ATTENDENCE",Table1[[#This Row],[Attendance_%]]&gt;=85,"AVERAGE ATTENDENCE",Table1[[#This Row],[Attendance_%]]&lt;85,"POOR ATTENDENCE")</f>
        <v>AVERAGE ATTENDENCE</v>
      </c>
      <c r="Q10" s="2">
        <v>9</v>
      </c>
      <c r="R10" s="2">
        <f>SUM(Table1[[#This Row],[Basic_Salary]],Table1[[#This Row],[Bonus]])</f>
        <v>45500</v>
      </c>
      <c r="S10" s="2" t="str">
        <f>IF(Table1[[#This Row],[Sales_Achieved]]&gt;=Table1[[#This Row],[Sales_Target]],"ACHIVED","NOT ACHIVED")</f>
        <v>NOT ACHIVED</v>
      </c>
      <c r="T10" s="2" t="str">
        <f>IF(AND(Table1[[#This Row],[Performance_Score]]&gt;85,Table1[[#This Row],[Attendance_%]]&gt;90),"EXCELLENT","NEED IMPROVEMENT")</f>
        <v>NEED IMPROVEMENT</v>
      </c>
      <c r="U10" s="2" t="str">
        <f>IF(OR(Table1[[#This Row],[Department]]=C12,Table1[[#This Row],[Department]]=C13),"ELIGIBLE","NOT ELIGIBLE")</f>
        <v>NOT ELIGIBLE</v>
      </c>
    </row>
    <row r="11" spans="1:21" ht="29" x14ac:dyDescent="0.35">
      <c r="A11" s="4" t="s">
        <v>37</v>
      </c>
      <c r="B11" s="4" t="s">
        <v>38</v>
      </c>
      <c r="C11" s="4" t="s">
        <v>22</v>
      </c>
      <c r="D11" s="4" t="s">
        <v>26</v>
      </c>
      <c r="E11" s="2">
        <v>7</v>
      </c>
      <c r="F11" s="2" t="str" cm="1">
        <f t="array" ref="F11">_xlfn.IFS(Table1[[#This Row],[Experience_Years]]&gt;=6,"HIGLY EXPERIANCED",Table1[[#This Row],[Experience_Years]]&gt;=3,"EXPERIANCED",Table1[[#This Row],[Experience_Years]]&gt;=1,"BEGINER")</f>
        <v>HIGLY EXPERIANCED</v>
      </c>
      <c r="G11" s="2">
        <v>62000</v>
      </c>
      <c r="H11" s="2">
        <v>8500</v>
      </c>
      <c r="I11" s="2">
        <v>400000</v>
      </c>
      <c r="J11" s="2">
        <v>425000</v>
      </c>
      <c r="K11" s="2" t="str" cm="1">
        <f t="array" ref="K11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11" s="2">
        <v>97</v>
      </c>
      <c r="M11" s="2" t="str" cm="1">
        <f t="array" ref="M11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OUTSTANDING</v>
      </c>
      <c r="N11" s="2" t="str" cm="1">
        <f t="array" ref="N11">_xlfn.IFS(Table1[[#This Row],[Performance_Score]]&gt;=90,"EXCELLENT",Table1[[#This Row],[Performance_Score]]&gt;=80,"GOOD",Table1[[#This Row],[Performance_Score]]&gt;=70,"AVERAGE",Table1[[#This Row],[Performance_Score]]&lt;70,"NEED IMPROVEMENT")</f>
        <v>EXCELLENT</v>
      </c>
      <c r="O11" s="2">
        <v>99</v>
      </c>
      <c r="P11" s="2" t="str" cm="1">
        <f t="array" ref="P11">_xlfn.IFS(Table1[[#This Row],[Attendance_%]]&gt;=95,"EXCELLENT ATTENDENCE",Table1[[#This Row],[Attendance_%]]&gt;=90,"GOOD ATTENDENCE",Table1[[#This Row],[Attendance_%]]&gt;=85,"AVERAGE ATTENDENCE",Table1[[#This Row],[Attendance_%]]&lt;85,"POOR ATTENDENCE")</f>
        <v>EXCELLENT ATTENDENCE</v>
      </c>
      <c r="Q11" s="2">
        <v>20</v>
      </c>
      <c r="R11" s="2">
        <f>SUM(Table1[[#This Row],[Basic_Salary]],Table1[[#This Row],[Bonus]])</f>
        <v>70500</v>
      </c>
      <c r="S11" s="2" t="str">
        <f>IF(Table1[[#This Row],[Sales_Achieved]]&gt;=Table1[[#This Row],[Sales_Target]],"ACHIVED","NOT ACHIVED")</f>
        <v>ACHIVED</v>
      </c>
      <c r="T11" s="2" t="str">
        <f>IF(AND(Table1[[#This Row],[Performance_Score]]&gt;85,Table1[[#This Row],[Attendance_%]]&gt;90),"EXCELLENT","NEED IMPROVEMENT")</f>
        <v>EXCELLENT</v>
      </c>
      <c r="U11" s="2" t="str">
        <f>IF(OR(Table1[[#This Row],[Department]]=C13,Table1[[#This Row],[Department]]=C14),"ELIGIBLE","NOT ELIGIBLE")</f>
        <v>NOT ELIGIBLE</v>
      </c>
    </row>
    <row r="12" spans="1:21" ht="29" x14ac:dyDescent="0.35">
      <c r="A12" s="4" t="s">
        <v>39</v>
      </c>
      <c r="B12" s="4" t="s">
        <v>40</v>
      </c>
      <c r="C12" s="4" t="s">
        <v>14</v>
      </c>
      <c r="D12" s="4" t="s">
        <v>19</v>
      </c>
      <c r="E12" s="2">
        <v>5</v>
      </c>
      <c r="F12" s="2" t="str" cm="1">
        <f t="array" ref="F12">_xlfn.IFS(Table1[[#This Row],[Experience_Years]]&gt;=6,"HIGLY EXPERIANCED",Table1[[#This Row],[Experience_Years]]&gt;=3,"EXPERIANCED",Table1[[#This Row],[Experience_Years]]&gt;=1,"BEGINER")</f>
        <v>EXPERIANCED</v>
      </c>
      <c r="G12" s="2">
        <v>45000</v>
      </c>
      <c r="H12" s="2">
        <v>6500</v>
      </c>
      <c r="I12" s="2">
        <v>350000</v>
      </c>
      <c r="J12" s="2">
        <v>370000</v>
      </c>
      <c r="K12" s="2" t="str" cm="1">
        <f t="array" ref="K12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12" s="2">
        <v>91</v>
      </c>
      <c r="M12" s="2" t="str" cm="1">
        <f t="array" ref="M12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EXCELLENT</v>
      </c>
      <c r="N12" s="2" t="str" cm="1">
        <f t="array" ref="N12">_xlfn.IFS(Table1[[#This Row],[Performance_Score]]&gt;=90,"EXCELLENT",Table1[[#This Row],[Performance_Score]]&gt;=80,"GOOD",Table1[[#This Row],[Performance_Score]]&gt;=70,"AVERAGE",Table1[[#This Row],[Performance_Score]]&lt;70,"NEED IMPROVEMENT")</f>
        <v>EXCELLENT</v>
      </c>
      <c r="O12" s="2">
        <v>94</v>
      </c>
      <c r="P12" s="2" t="str" cm="1">
        <f t="array" ref="P12">_xlfn.IFS(Table1[[#This Row],[Attendance_%]]&gt;=95,"EXCELLENT ATTENDENCE",Table1[[#This Row],[Attendance_%]]&gt;=90,"GOOD ATTENDENCE",Table1[[#This Row],[Attendance_%]]&gt;=85,"AVERAGE ATTENDENCE",Table1[[#This Row],[Attendance_%]]&lt;85,"POOR ATTENDENCE")</f>
        <v>GOOD ATTENDENCE</v>
      </c>
      <c r="Q12" s="2">
        <v>16</v>
      </c>
      <c r="R12" s="2">
        <f>SUM(Table1[[#This Row],[Basic_Salary]],Table1[[#This Row],[Bonus]])</f>
        <v>51500</v>
      </c>
      <c r="S12" s="2" t="str">
        <f>IF(Table1[[#This Row],[Sales_Achieved]]&gt;=Table1[[#This Row],[Sales_Target]],"ACHIVED","NOT ACHIVED")</f>
        <v>ACHIVED</v>
      </c>
      <c r="T12" s="2" t="str">
        <f>IF(AND(Table1[[#This Row],[Performance_Score]]&gt;85,Table1[[#This Row],[Attendance_%]]&gt;90),"EXCELLENT","NEED IMPROVEMENT")</f>
        <v>EXCELLENT</v>
      </c>
      <c r="U12" s="2" t="str">
        <f>IF(OR(Table1[[#This Row],[Department]]=C14,Table1[[#This Row],[Department]]=C15),"ELIGIBLE","NOT ELIGIBLE")</f>
        <v>NOT ELIGIBLE</v>
      </c>
    </row>
    <row r="13" spans="1:21" ht="43.5" x14ac:dyDescent="0.35">
      <c r="A13" s="4" t="s">
        <v>41</v>
      </c>
      <c r="B13" s="4" t="s">
        <v>42</v>
      </c>
      <c r="C13" s="4" t="s">
        <v>18</v>
      </c>
      <c r="D13" s="4" t="s">
        <v>15</v>
      </c>
      <c r="E13" s="2">
        <v>3</v>
      </c>
      <c r="F13" s="2" t="str" cm="1">
        <f t="array" ref="F13">_xlfn.IFS(Table1[[#This Row],[Experience_Years]]&gt;=6,"HIGLY EXPERIANCED",Table1[[#This Row],[Experience_Years]]&gt;=3,"EXPERIANCED",Table1[[#This Row],[Experience_Years]]&gt;=1,"BEGINER")</f>
        <v>EXPERIANCED</v>
      </c>
      <c r="G13" s="2">
        <v>36000</v>
      </c>
      <c r="H13" s="2">
        <v>3200</v>
      </c>
      <c r="I13" s="2">
        <v>160000</v>
      </c>
      <c r="J13" s="2">
        <v>172000</v>
      </c>
      <c r="K13" s="2" t="str" cm="1">
        <f t="array" ref="K13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13" s="2">
        <v>84</v>
      </c>
      <c r="M13" s="2" t="str" cm="1">
        <f t="array" ref="M13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GOOD</v>
      </c>
      <c r="N13" s="2" t="str" cm="1">
        <f t="array" ref="N13">_xlfn.IFS(Table1[[#This Row],[Performance_Score]]&gt;=90,"EXCELLENT",Table1[[#This Row],[Performance_Score]]&gt;=80,"GOOD",Table1[[#This Row],[Performance_Score]]&gt;=70,"AVERAGE",Table1[[#This Row],[Performance_Score]]&lt;70,"NEED IMPROVEMENT")</f>
        <v>GOOD</v>
      </c>
      <c r="O13" s="2">
        <v>92</v>
      </c>
      <c r="P13" s="2" t="str" cm="1">
        <f t="array" ref="P13">_xlfn.IFS(Table1[[#This Row],[Attendance_%]]&gt;=95,"EXCELLENT ATTENDENCE",Table1[[#This Row],[Attendance_%]]&gt;=90,"GOOD ATTENDENCE",Table1[[#This Row],[Attendance_%]]&gt;=85,"AVERAGE ATTENDENCE",Table1[[#This Row],[Attendance_%]]&lt;85,"POOR ATTENDENCE")</f>
        <v>GOOD ATTENDENCE</v>
      </c>
      <c r="Q13" s="2">
        <v>5</v>
      </c>
      <c r="R13" s="2">
        <f>SUM(Table1[[#This Row],[Basic_Salary]],Table1[[#This Row],[Bonus]])</f>
        <v>39200</v>
      </c>
      <c r="S13" s="2" t="str">
        <f>IF(Table1[[#This Row],[Sales_Achieved]]&gt;=Table1[[#This Row],[Sales_Target]],"ACHIVED","NOT ACHIVED")</f>
        <v>ACHIVED</v>
      </c>
      <c r="T13" s="2" t="str">
        <f>IF(AND(Table1[[#This Row],[Performance_Score]]&gt;85,Table1[[#This Row],[Attendance_%]]&gt;90),"EXCELLENT","NEED IMPROVEMENT")</f>
        <v>NEED IMPROVEMENT</v>
      </c>
      <c r="U13" s="2" t="str">
        <f>IF(OR(Table1[[#This Row],[Department]]=C15,Table1[[#This Row],[Department]]=C16),"ELIGIBLE","NOT ELIGIBLE")</f>
        <v>NOT ELIGIBLE</v>
      </c>
    </row>
    <row r="14" spans="1:21" ht="29" x14ac:dyDescent="0.35">
      <c r="A14" s="4" t="s">
        <v>43</v>
      </c>
      <c r="B14" s="4" t="s">
        <v>44</v>
      </c>
      <c r="C14" s="4" t="s">
        <v>25</v>
      </c>
      <c r="D14" s="4" t="s">
        <v>26</v>
      </c>
      <c r="E14" s="2">
        <v>8</v>
      </c>
      <c r="F14" s="2" t="str" cm="1">
        <f t="array" ref="F14">_xlfn.IFS(Table1[[#This Row],[Experience_Years]]&gt;=6,"HIGLY EXPERIANCED",Table1[[#This Row],[Experience_Years]]&gt;=3,"EXPERIANCED",Table1[[#This Row],[Experience_Years]]&gt;=1,"BEGINER")</f>
        <v>HIGLY EXPERIANCED</v>
      </c>
      <c r="G14" s="2">
        <v>68000</v>
      </c>
      <c r="H14" s="2">
        <v>9000</v>
      </c>
      <c r="I14" s="2">
        <v>300000</v>
      </c>
      <c r="J14" s="2">
        <v>315000</v>
      </c>
      <c r="K14" s="2" t="str" cm="1">
        <f t="array" ref="K14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14" s="2">
        <v>95</v>
      </c>
      <c r="M14" s="2" t="str" cm="1">
        <f t="array" ref="M14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OUTSTANDING</v>
      </c>
      <c r="N14" s="2" t="str" cm="1">
        <f t="array" ref="N14">_xlfn.IFS(Table1[[#This Row],[Performance_Score]]&gt;=90,"EXCELLENT",Table1[[#This Row],[Performance_Score]]&gt;=80,"GOOD",Table1[[#This Row],[Performance_Score]]&gt;=70,"AVERAGE",Table1[[#This Row],[Performance_Score]]&lt;70,"NEED IMPROVEMENT")</f>
        <v>EXCELLENT</v>
      </c>
      <c r="O14" s="2">
        <v>97</v>
      </c>
      <c r="P14" s="2" t="str" cm="1">
        <f t="array" ref="P14">_xlfn.IFS(Table1[[#This Row],[Attendance_%]]&gt;=95,"EXCELLENT ATTENDENCE",Table1[[#This Row],[Attendance_%]]&gt;=90,"GOOD ATTENDENCE",Table1[[#This Row],[Attendance_%]]&gt;=85,"AVERAGE ATTENDENCE",Table1[[#This Row],[Attendance_%]]&lt;85,"POOR ATTENDENCE")</f>
        <v>EXCELLENT ATTENDENCE</v>
      </c>
      <c r="Q14" s="2">
        <v>22</v>
      </c>
      <c r="R14" s="2">
        <f>SUM(Table1[[#This Row],[Basic_Salary]],Table1[[#This Row],[Bonus]])</f>
        <v>77000</v>
      </c>
      <c r="S14" s="2" t="str">
        <f>IF(Table1[[#This Row],[Sales_Achieved]]&gt;=Table1[[#This Row],[Sales_Target]],"ACHIVED","NOT ACHIVED")</f>
        <v>ACHIVED</v>
      </c>
      <c r="T14" s="2" t="str">
        <f>IF(AND(Table1[[#This Row],[Performance_Score]]&gt;85,Table1[[#This Row],[Attendance_%]]&gt;90),"EXCELLENT","NEED IMPROVEMENT")</f>
        <v>EXCELLENT</v>
      </c>
      <c r="U14" s="2" t="str">
        <f>IF(OR(Table1[[#This Row],[Department]]=C16,Table1[[#This Row],[Department]]=C17),"ELIGIBLE","NOT ELIGIBLE")</f>
        <v>NOT ELIGIBLE</v>
      </c>
    </row>
    <row r="15" spans="1:21" ht="43.5" x14ac:dyDescent="0.35">
      <c r="A15" s="4" t="s">
        <v>45</v>
      </c>
      <c r="B15" s="4" t="s">
        <v>46</v>
      </c>
      <c r="C15" s="4" t="s">
        <v>22</v>
      </c>
      <c r="D15" s="4" t="s">
        <v>19</v>
      </c>
      <c r="E15" s="2">
        <v>2</v>
      </c>
      <c r="F15" s="2" t="str" cm="1">
        <f t="array" ref="F15">_xlfn.IFS(Table1[[#This Row],[Experience_Years]]&gt;=6,"HIGLY EXPERIANCED",Table1[[#This Row],[Experience_Years]]&gt;=3,"EXPERIANCED",Table1[[#This Row],[Experience_Years]]&gt;=1,"BEGINER")</f>
        <v>BEGINER</v>
      </c>
      <c r="G15" s="2">
        <v>38000</v>
      </c>
      <c r="H15" s="2">
        <v>4000</v>
      </c>
      <c r="I15" s="2">
        <v>220000</v>
      </c>
      <c r="J15" s="2">
        <v>205000</v>
      </c>
      <c r="K15" s="2" t="str" cm="1">
        <f t="array" ref="K15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NEAR TARGET</v>
      </c>
      <c r="L15" s="2">
        <v>76</v>
      </c>
      <c r="M15" s="2" t="str" cm="1">
        <f t="array" ref="M15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SATISFACTORY</v>
      </c>
      <c r="N15" s="2" t="str" cm="1">
        <f t="array" ref="N15">_xlfn.IFS(Table1[[#This Row],[Performance_Score]]&gt;=90,"EXCELLENT",Table1[[#This Row],[Performance_Score]]&gt;=80,"GOOD",Table1[[#This Row],[Performance_Score]]&gt;=70,"AVERAGE",Table1[[#This Row],[Performance_Score]]&lt;70,"NEED IMPROVEMENT")</f>
        <v>AVERAGE</v>
      </c>
      <c r="O15" s="2">
        <v>90</v>
      </c>
      <c r="P15" s="2" t="str" cm="1">
        <f t="array" ref="P15">_xlfn.IFS(Table1[[#This Row],[Attendance_%]]&gt;=95,"EXCELLENT ATTENDENCE",Table1[[#This Row],[Attendance_%]]&gt;=90,"GOOD ATTENDENCE",Table1[[#This Row],[Attendance_%]]&gt;=85,"AVERAGE ATTENDENCE",Table1[[#This Row],[Attendance_%]]&lt;85,"POOR ATTENDENCE")</f>
        <v>GOOD ATTENDENCE</v>
      </c>
      <c r="Q15" s="2">
        <v>11</v>
      </c>
      <c r="R15" s="2">
        <f>SUM(Table1[[#This Row],[Basic_Salary]],Table1[[#This Row],[Bonus]])</f>
        <v>42000</v>
      </c>
      <c r="S15" s="2" t="str">
        <f>IF(Table1[[#This Row],[Sales_Achieved]]&gt;=Table1[[#This Row],[Sales_Target]],"ACHIVED","NOT ACHIVED")</f>
        <v>NOT ACHIVED</v>
      </c>
      <c r="T15" s="2" t="str">
        <f>IF(AND(Table1[[#This Row],[Performance_Score]]&gt;85,Table1[[#This Row],[Attendance_%]]&gt;90),"EXCELLENT","NEED IMPROVEMENT")</f>
        <v>NEED IMPROVEMENT</v>
      </c>
      <c r="U15" s="2" t="str">
        <f>IF(OR(Table1[[#This Row],[Department]]=C17,Table1[[#This Row],[Department]]=C18),"ELIGIBLE","NOT ELIGIBLE")</f>
        <v>ELIGIBLE</v>
      </c>
    </row>
    <row r="16" spans="1:21" ht="29" x14ac:dyDescent="0.35">
      <c r="A16" s="4" t="s">
        <v>47</v>
      </c>
      <c r="B16" s="4" t="s">
        <v>48</v>
      </c>
      <c r="C16" s="4" t="s">
        <v>14</v>
      </c>
      <c r="D16" s="4" t="s">
        <v>26</v>
      </c>
      <c r="E16" s="2">
        <v>6</v>
      </c>
      <c r="F16" s="2" t="str" cm="1">
        <f t="array" ref="F16">_xlfn.IFS(Table1[[#This Row],[Experience_Years]]&gt;=6,"HIGLY EXPERIANCED",Table1[[#This Row],[Experience_Years]]&gt;=3,"EXPERIANCED",Table1[[#This Row],[Experience_Years]]&gt;=1,"BEGINER")</f>
        <v>HIGLY EXPERIANCED</v>
      </c>
      <c r="G16" s="2">
        <v>52000</v>
      </c>
      <c r="H16" s="2">
        <v>7000</v>
      </c>
      <c r="I16" s="2">
        <v>400000</v>
      </c>
      <c r="J16" s="2">
        <v>440000</v>
      </c>
      <c r="K16" s="2" t="str" cm="1">
        <f t="array" ref="K16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16" s="2">
        <v>94</v>
      </c>
      <c r="M16" s="2" t="str" cm="1">
        <f t="array" ref="M16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EXCELLENT</v>
      </c>
      <c r="N16" s="2" t="str" cm="1">
        <f t="array" ref="N16">_xlfn.IFS(Table1[[#This Row],[Performance_Score]]&gt;=90,"EXCELLENT",Table1[[#This Row],[Performance_Score]]&gt;=80,"GOOD",Table1[[#This Row],[Performance_Score]]&gt;=70,"AVERAGE",Table1[[#This Row],[Performance_Score]]&lt;70,"NEED IMPROVEMENT")</f>
        <v>EXCELLENT</v>
      </c>
      <c r="O16" s="2">
        <v>98</v>
      </c>
      <c r="P16" s="2" t="str" cm="1">
        <f t="array" ref="P16">_xlfn.IFS(Table1[[#This Row],[Attendance_%]]&gt;=95,"EXCELLENT ATTENDENCE",Table1[[#This Row],[Attendance_%]]&gt;=90,"GOOD ATTENDENCE",Table1[[#This Row],[Attendance_%]]&gt;=85,"AVERAGE ATTENDENCE",Table1[[#This Row],[Attendance_%]]&lt;85,"POOR ATTENDENCE")</f>
        <v>EXCELLENT ATTENDENCE</v>
      </c>
      <c r="Q16" s="2">
        <v>19</v>
      </c>
      <c r="R16" s="2">
        <f>SUM(Table1[[#This Row],[Basic_Salary]],Table1[[#This Row],[Bonus]])</f>
        <v>59000</v>
      </c>
      <c r="S16" s="2" t="str">
        <f>IF(Table1[[#This Row],[Sales_Achieved]]&gt;=Table1[[#This Row],[Sales_Target]],"ACHIVED","NOT ACHIVED")</f>
        <v>ACHIVED</v>
      </c>
      <c r="T16" s="2" t="str">
        <f>IF(AND(Table1[[#This Row],[Performance_Score]]&gt;85,Table1[[#This Row],[Attendance_%]]&gt;90),"EXCELLENT","NEED IMPROVEMENT")</f>
        <v>EXCELLENT</v>
      </c>
      <c r="U16" s="2" t="str">
        <f>IF(OR(Table1[[#This Row],[Department]]=C18,Table1[[#This Row],[Department]]=C19),"ELIGIBLE","NOT ELIGIBLE")</f>
        <v>NOT ELIGIBLE</v>
      </c>
    </row>
    <row r="17" spans="1:21" ht="43.5" x14ac:dyDescent="0.35">
      <c r="A17" s="4" t="s">
        <v>49</v>
      </c>
      <c r="B17" s="4" t="s">
        <v>50</v>
      </c>
      <c r="C17" s="4" t="s">
        <v>18</v>
      </c>
      <c r="D17" s="4" t="s">
        <v>19</v>
      </c>
      <c r="E17" s="2">
        <v>5</v>
      </c>
      <c r="F17" s="2" t="str" cm="1">
        <f t="array" ref="F17">_xlfn.IFS(Table1[[#This Row],[Experience_Years]]&gt;=6,"HIGLY EXPERIANCED",Table1[[#This Row],[Experience_Years]]&gt;=3,"EXPERIANCED",Table1[[#This Row],[Experience_Years]]&gt;=1,"BEGINER")</f>
        <v>EXPERIANCED</v>
      </c>
      <c r="G17" s="2">
        <v>44000</v>
      </c>
      <c r="H17" s="2">
        <v>4800</v>
      </c>
      <c r="I17" s="2">
        <v>190000</v>
      </c>
      <c r="J17" s="2">
        <v>185000</v>
      </c>
      <c r="K17" s="2" t="str" cm="1">
        <f t="array" ref="K17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NEAR TARGET</v>
      </c>
      <c r="L17" s="2">
        <v>79</v>
      </c>
      <c r="M17" s="2" t="str" cm="1">
        <f t="array" ref="M17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SATISFACTORY</v>
      </c>
      <c r="N17" s="2" t="str" cm="1">
        <f t="array" ref="N17">_xlfn.IFS(Table1[[#This Row],[Performance_Score]]&gt;=90,"EXCELLENT",Table1[[#This Row],[Performance_Score]]&gt;=80,"GOOD",Table1[[#This Row],[Performance_Score]]&gt;=70,"AVERAGE",Table1[[#This Row],[Performance_Score]]&lt;70,"NEED IMPROVEMENT")</f>
        <v>AVERAGE</v>
      </c>
      <c r="O17" s="2">
        <v>88</v>
      </c>
      <c r="P17" s="2" t="str" cm="1">
        <f t="array" ref="P17">_xlfn.IFS(Table1[[#This Row],[Attendance_%]]&gt;=95,"EXCELLENT ATTENDENCE",Table1[[#This Row],[Attendance_%]]&gt;=90,"GOOD ATTENDENCE",Table1[[#This Row],[Attendance_%]]&gt;=85,"AVERAGE ATTENDENCE",Table1[[#This Row],[Attendance_%]]&lt;85,"POOR ATTENDENCE")</f>
        <v>AVERAGE ATTENDENCE</v>
      </c>
      <c r="Q17" s="2">
        <v>8</v>
      </c>
      <c r="R17" s="2">
        <f>SUM(Table1[[#This Row],[Basic_Salary]],Table1[[#This Row],[Bonus]])</f>
        <v>48800</v>
      </c>
      <c r="S17" s="2" t="str">
        <f>IF(Table1[[#This Row],[Sales_Achieved]]&gt;=Table1[[#This Row],[Sales_Target]],"ACHIVED","NOT ACHIVED")</f>
        <v>NOT ACHIVED</v>
      </c>
      <c r="T17" s="2" t="str">
        <f>IF(AND(Table1[[#This Row],[Performance_Score]]&gt;85,Table1[[#This Row],[Attendance_%]]&gt;90),"EXCELLENT","NEED IMPROVEMENT")</f>
        <v>NEED IMPROVEMENT</v>
      </c>
      <c r="U17" s="2" t="str">
        <f>IF(OR(Table1[[#This Row],[Department]]=C19,Table1[[#This Row],[Department]]=C20),"ELIGIBLE","NOT ELIGIBLE")</f>
        <v>NOT ELIGIBLE</v>
      </c>
    </row>
    <row r="18" spans="1:21" ht="29" x14ac:dyDescent="0.35">
      <c r="A18" s="4" t="s">
        <v>51</v>
      </c>
      <c r="B18" s="4" t="s">
        <v>52</v>
      </c>
      <c r="C18" s="4" t="s">
        <v>22</v>
      </c>
      <c r="D18" s="4" t="s">
        <v>15</v>
      </c>
      <c r="E18" s="2">
        <v>4</v>
      </c>
      <c r="F18" s="2" t="str" cm="1">
        <f t="array" ref="F18">_xlfn.IFS(Table1[[#This Row],[Experience_Years]]&gt;=6,"HIGLY EXPERIANCED",Table1[[#This Row],[Experience_Years]]&gt;=3,"EXPERIANCED",Table1[[#This Row],[Experience_Years]]&gt;=1,"BEGINER")</f>
        <v>EXPERIANCED</v>
      </c>
      <c r="G18" s="2">
        <v>47000</v>
      </c>
      <c r="H18" s="2">
        <v>5800</v>
      </c>
      <c r="I18" s="2">
        <v>280000</v>
      </c>
      <c r="J18" s="2">
        <v>300000</v>
      </c>
      <c r="K18" s="2" t="str" cm="1">
        <f t="array" ref="K18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18" s="2">
        <v>87</v>
      </c>
      <c r="M18" s="2" t="str" cm="1">
        <f t="array" ref="M18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GOOD</v>
      </c>
      <c r="N18" s="2" t="str" cm="1">
        <f t="array" ref="N18">_xlfn.IFS(Table1[[#This Row],[Performance_Score]]&gt;=90,"EXCELLENT",Table1[[#This Row],[Performance_Score]]&gt;=80,"GOOD",Table1[[#This Row],[Performance_Score]]&gt;=70,"AVERAGE",Table1[[#This Row],[Performance_Score]]&lt;70,"NEED IMPROVEMENT")</f>
        <v>GOOD</v>
      </c>
      <c r="O18" s="2">
        <v>95</v>
      </c>
      <c r="P18" s="2" t="str" cm="1">
        <f t="array" ref="P18">_xlfn.IFS(Table1[[#This Row],[Attendance_%]]&gt;=95,"EXCELLENT ATTENDENCE",Table1[[#This Row],[Attendance_%]]&gt;=90,"GOOD ATTENDENCE",Table1[[#This Row],[Attendance_%]]&gt;=85,"AVERAGE ATTENDENCE",Table1[[#This Row],[Attendance_%]]&lt;85,"POOR ATTENDENCE")</f>
        <v>EXCELLENT ATTENDENCE</v>
      </c>
      <c r="Q18" s="2">
        <v>13</v>
      </c>
      <c r="R18" s="2">
        <f>SUM(Table1[[#This Row],[Basic_Salary]],Table1[[#This Row],[Bonus]])</f>
        <v>52800</v>
      </c>
      <c r="S18" s="2" t="str">
        <f>IF(Table1[[#This Row],[Sales_Achieved]]&gt;=Table1[[#This Row],[Sales_Target]],"ACHIVED","NOT ACHIVED")</f>
        <v>ACHIVED</v>
      </c>
      <c r="T18" s="2" t="str">
        <f>IF(AND(Table1[[#This Row],[Performance_Score]]&gt;85,Table1[[#This Row],[Attendance_%]]&gt;90),"EXCELLENT","NEED IMPROVEMENT")</f>
        <v>EXCELLENT</v>
      </c>
      <c r="U18" s="2" t="str">
        <f>IF(OR(Table1[[#This Row],[Department]]=C20,Table1[[#This Row],[Department]]=C21),"ELIGIBLE","NOT ELIGIBLE")</f>
        <v>ELIGIBLE</v>
      </c>
    </row>
    <row r="19" spans="1:21" ht="43.5" x14ac:dyDescent="0.35">
      <c r="A19" s="4" t="s">
        <v>53</v>
      </c>
      <c r="B19" s="4" t="s">
        <v>54</v>
      </c>
      <c r="C19" s="4" t="s">
        <v>25</v>
      </c>
      <c r="D19" s="4" t="s">
        <v>15</v>
      </c>
      <c r="E19" s="2">
        <v>2</v>
      </c>
      <c r="F19" s="2" t="str" cm="1">
        <f t="array" ref="F19">_xlfn.IFS(Table1[[#This Row],[Experience_Years]]&gt;=6,"HIGLY EXPERIANCED",Table1[[#This Row],[Experience_Years]]&gt;=3,"EXPERIANCED",Table1[[#This Row],[Experience_Years]]&gt;=1,"BEGINER")</f>
        <v>BEGINER</v>
      </c>
      <c r="G19" s="2">
        <v>37000</v>
      </c>
      <c r="H19" s="2">
        <v>3500</v>
      </c>
      <c r="I19" s="2">
        <v>170000</v>
      </c>
      <c r="J19" s="2">
        <v>180000</v>
      </c>
      <c r="K19" s="2" t="str" cm="1">
        <f t="array" ref="K19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19" s="2">
        <v>83</v>
      </c>
      <c r="M19" s="2" t="str" cm="1">
        <f t="array" ref="M19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GOOD</v>
      </c>
      <c r="N19" s="2" t="str" cm="1">
        <f t="array" ref="N19">_xlfn.IFS(Table1[[#This Row],[Performance_Score]]&gt;=90,"EXCELLENT",Table1[[#This Row],[Performance_Score]]&gt;=80,"GOOD",Table1[[#This Row],[Performance_Score]]&gt;=70,"AVERAGE",Table1[[#This Row],[Performance_Score]]&lt;70,"NEED IMPROVEMENT")</f>
        <v>GOOD</v>
      </c>
      <c r="O19" s="2">
        <v>93</v>
      </c>
      <c r="P19" s="2" t="str" cm="1">
        <f t="array" ref="P19">_xlfn.IFS(Table1[[#This Row],[Attendance_%]]&gt;=95,"EXCELLENT ATTENDENCE",Table1[[#This Row],[Attendance_%]]&gt;=90,"GOOD ATTENDENCE",Table1[[#This Row],[Attendance_%]]&gt;=85,"AVERAGE ATTENDENCE",Table1[[#This Row],[Attendance_%]]&lt;85,"POOR ATTENDENCE")</f>
        <v>GOOD ATTENDENCE</v>
      </c>
      <c r="Q19" s="2">
        <v>7</v>
      </c>
      <c r="R19" s="2">
        <f>SUM(Table1[[#This Row],[Basic_Salary]],Table1[[#This Row],[Bonus]])</f>
        <v>40500</v>
      </c>
      <c r="S19" s="2" t="str">
        <f>IF(Table1[[#This Row],[Sales_Achieved]]&gt;=Table1[[#This Row],[Sales_Target]],"ACHIVED","NOT ACHIVED")</f>
        <v>ACHIVED</v>
      </c>
      <c r="T19" s="2" t="str">
        <f>IF(AND(Table1[[#This Row],[Performance_Score]]&gt;85,Table1[[#This Row],[Attendance_%]]&gt;90),"EXCELLENT","NEED IMPROVEMENT")</f>
        <v>NEED IMPROVEMENT</v>
      </c>
      <c r="U19" s="2" t="str">
        <f>IF(OR(Table1[[#This Row],[Department]]=C21,Table1[[#This Row],[Department]]=C22),"ELIGIBLE","NOT ELIGIBLE")</f>
        <v>NOT ELIGIBLE</v>
      </c>
    </row>
    <row r="20" spans="1:21" ht="29" x14ac:dyDescent="0.35">
      <c r="A20" s="4" t="s">
        <v>55</v>
      </c>
      <c r="B20" s="4" t="s">
        <v>56</v>
      </c>
      <c r="C20" s="4" t="s">
        <v>14</v>
      </c>
      <c r="D20" s="4" t="s">
        <v>19</v>
      </c>
      <c r="E20" s="2">
        <v>3</v>
      </c>
      <c r="F20" s="2" t="str" cm="1">
        <f t="array" ref="F20">_xlfn.IFS(Table1[[#This Row],[Experience_Years]]&gt;=6,"HIGLY EXPERIANCED",Table1[[#This Row],[Experience_Years]]&gt;=3,"EXPERIANCED",Table1[[#This Row],[Experience_Years]]&gt;=1,"BEGINER")</f>
        <v>EXPERIANCED</v>
      </c>
      <c r="G20" s="2">
        <v>34000</v>
      </c>
      <c r="H20" s="2">
        <v>4500</v>
      </c>
      <c r="I20" s="2">
        <v>300000</v>
      </c>
      <c r="J20" s="2">
        <v>310000</v>
      </c>
      <c r="K20" s="2" t="str" cm="1">
        <f t="array" ref="K20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20" s="2">
        <v>86</v>
      </c>
      <c r="M20" s="2" t="str" cm="1">
        <f t="array" ref="M20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GOOD</v>
      </c>
      <c r="N20" s="2" t="str" cm="1">
        <f t="array" ref="N20">_xlfn.IFS(Table1[[#This Row],[Performance_Score]]&gt;=90,"EXCELLENT",Table1[[#This Row],[Performance_Score]]&gt;=80,"GOOD",Table1[[#This Row],[Performance_Score]]&gt;=70,"AVERAGE",Table1[[#This Row],[Performance_Score]]&lt;70,"NEED IMPROVEMENT")</f>
        <v>GOOD</v>
      </c>
      <c r="O20" s="2">
        <v>91</v>
      </c>
      <c r="P20" s="2" t="str" cm="1">
        <f t="array" ref="P20">_xlfn.IFS(Table1[[#This Row],[Attendance_%]]&gt;=95,"EXCELLENT ATTENDENCE",Table1[[#This Row],[Attendance_%]]&gt;=90,"GOOD ATTENDENCE",Table1[[#This Row],[Attendance_%]]&gt;=85,"AVERAGE ATTENDENCE",Table1[[#This Row],[Attendance_%]]&lt;85,"POOR ATTENDENCE")</f>
        <v>GOOD ATTENDENCE</v>
      </c>
      <c r="Q20" s="2">
        <v>10</v>
      </c>
      <c r="R20" s="2">
        <f>SUM(Table1[[#This Row],[Basic_Salary]],Table1[[#This Row],[Bonus]])</f>
        <v>38500</v>
      </c>
      <c r="S20" s="2" t="str">
        <f>IF(Table1[[#This Row],[Sales_Achieved]]&gt;=Table1[[#This Row],[Sales_Target]],"ACHIVED","NOT ACHIVED")</f>
        <v>ACHIVED</v>
      </c>
      <c r="T20" s="2" t="str">
        <f>IF(AND(Table1[[#This Row],[Performance_Score]]&gt;85,Table1[[#This Row],[Attendance_%]]&gt;90),"EXCELLENT","NEED IMPROVEMENT")</f>
        <v>EXCELLENT</v>
      </c>
      <c r="U20" s="2" t="str">
        <f>IF(OR(Table1[[#This Row],[Department]]=C22,Table1[[#This Row],[Department]]=C23),"ELIGIBLE","NOT ELIGIBLE")</f>
        <v>NOT ELIGIBLE</v>
      </c>
    </row>
    <row r="21" spans="1:21" ht="29" x14ac:dyDescent="0.35">
      <c r="A21" s="4" t="s">
        <v>57</v>
      </c>
      <c r="B21" s="4" t="s">
        <v>58</v>
      </c>
      <c r="C21" s="4" t="s">
        <v>22</v>
      </c>
      <c r="D21" s="4" t="s">
        <v>26</v>
      </c>
      <c r="E21" s="2">
        <v>5</v>
      </c>
      <c r="F21" s="2" t="str" cm="1">
        <f t="array" ref="F21">_xlfn.IFS(Table1[[#This Row],[Experience_Years]]&gt;=6,"HIGLY EXPERIANCED",Table1[[#This Row],[Experience_Years]]&gt;=3,"EXPERIANCED",Table1[[#This Row],[Experience_Years]]&gt;=1,"BEGINER")</f>
        <v>EXPERIANCED</v>
      </c>
      <c r="G21" s="2">
        <v>58000</v>
      </c>
      <c r="H21" s="2">
        <v>8000</v>
      </c>
      <c r="I21" s="2">
        <v>330000</v>
      </c>
      <c r="J21" s="2">
        <v>350000</v>
      </c>
      <c r="K21" s="2" t="str" cm="1">
        <f t="array" ref="K21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L21" s="2">
        <v>90</v>
      </c>
      <c r="M21" s="2" t="str" cm="1">
        <f t="array" ref="M21">_xlfn.IFS(Table1[[#This Row],[Performance_Score]]&gt;=95,"OUTSTANDING",Table1[[#This Row],[Performance_Score]]&gt;=90,"EXCELLENT",Table1[[#This Row],[Performance_Score]]&gt;=80,"GOOD",Table1[[#This Row],[Performance_Score]]&gt;=70,"SATISFACTORY",Table1[[#This Row],[Performance_Score]]&lt;70,"NEED IMROVEMENT")</f>
        <v>EXCELLENT</v>
      </c>
      <c r="N21" s="2" t="str" cm="1">
        <f t="array" ref="N21">_xlfn.IFS(Table1[[#This Row],[Performance_Score]]&gt;=90,"EXCELLENT",Table1[[#This Row],[Performance_Score]]&gt;=80,"GOOD",Table1[[#This Row],[Performance_Score]]&gt;=70,"AVERAGE",Table1[[#This Row],[Performance_Score]]&lt;70,"NEED IMPROVEMENT")</f>
        <v>EXCELLENT</v>
      </c>
      <c r="O21" s="2">
        <v>96</v>
      </c>
      <c r="P21" s="2" t="str" cm="1">
        <f t="array" ref="P21">_xlfn.IFS(Table1[[#This Row],[Attendance_%]]&gt;=95,"EXCELLENT ATTENDENCE",Table1[[#This Row],[Attendance_%]]&gt;=90,"GOOD ATTENDENCE",Table1[[#This Row],[Attendance_%]]&gt;=85,"AVERAGE ATTENDENCE",Table1[[#This Row],[Attendance_%]]&lt;85,"POOR ATTENDENCE")</f>
        <v>EXCELLENT ATTENDENCE</v>
      </c>
      <c r="Q21" s="2">
        <v>17</v>
      </c>
      <c r="R21" s="2">
        <f>SUM(Table1[[#This Row],[Basic_Salary]],Table1[[#This Row],[Bonus]])</f>
        <v>66000</v>
      </c>
      <c r="S21" s="2" t="str">
        <f>IF(Table1[[#This Row],[Sales_Achieved]]&gt;=Table1[[#This Row],[Sales_Target]],"ACHIVED","NOT ACHIVED")</f>
        <v>ACHIVED</v>
      </c>
      <c r="T21" s="2" t="str">
        <f>IF(AND(Table1[[#This Row],[Performance_Score]]&gt;85,Table1[[#This Row],[Attendance_%]]&gt;90),"EXCELLENT","NEED IMPROVEMENT")</f>
        <v>EXCELLENT</v>
      </c>
      <c r="U21" s="2" t="str">
        <f>IF(OR(Table1[[#This Row],[Department]]=C23,Table1[[#This Row],[Department]]=C24),"ELIGIBLE","NOT ELIGIBLE")</f>
        <v>NOT ELIGIBLE</v>
      </c>
    </row>
    <row r="24" spans="1:21" x14ac:dyDescent="0.35">
      <c r="A24">
        <v>1</v>
      </c>
      <c r="B24">
        <f>SUM(Table1[Basic_Salary])</f>
        <v>867000</v>
      </c>
    </row>
    <row r="25" spans="1:21" x14ac:dyDescent="0.35">
      <c r="A25">
        <v>2</v>
      </c>
      <c r="B25">
        <f>MIN(Table1[Basic_Salary])</f>
        <v>26000</v>
      </c>
    </row>
    <row r="26" spans="1:21" x14ac:dyDescent="0.35">
      <c r="A26">
        <v>3</v>
      </c>
      <c r="B26">
        <f>MAX(F:F)</f>
        <v>0</v>
      </c>
    </row>
    <row r="27" spans="1:21" x14ac:dyDescent="0.35">
      <c r="A27">
        <v>4</v>
      </c>
      <c r="B27">
        <f>SUM(Table1[Bonus])</f>
        <v>106300</v>
      </c>
    </row>
    <row r="28" spans="1:21" x14ac:dyDescent="0.35">
      <c r="A28">
        <v>9</v>
      </c>
      <c r="B28">
        <f>SUMIF(Table1[Department],C16,Table1[Basic_Salary])</f>
        <v>224000</v>
      </c>
    </row>
    <row r="29" spans="1:21" x14ac:dyDescent="0.35">
      <c r="A29">
        <v>10</v>
      </c>
      <c r="B29">
        <f>SUMIF(Table1[Department],C18,Table1[Bonus])</f>
        <v>39800</v>
      </c>
    </row>
    <row r="30" spans="1:21" x14ac:dyDescent="0.35">
      <c r="A30">
        <v>11</v>
      </c>
      <c r="B30">
        <f>SUMIF(Table1[Location],D19,Table1[Sales_Achieved])</f>
        <v>1982000</v>
      </c>
    </row>
    <row r="31" spans="1:21" x14ac:dyDescent="0.35">
      <c r="A31">
        <v>12</v>
      </c>
      <c r="B31">
        <f>SUMIFS(Table1[Basic_Salary],Table1[Department],C20,Table1[Location],D20)</f>
        <v>105000</v>
      </c>
    </row>
    <row r="32" spans="1:21" x14ac:dyDescent="0.35">
      <c r="A32">
        <v>13</v>
      </c>
      <c r="B32">
        <f>SUMIF(Table1[Performance_Score],"&gt;=90",Table1[Bonus])</f>
        <v>52500</v>
      </c>
    </row>
    <row r="33" spans="1:2" x14ac:dyDescent="0.35">
      <c r="A33">
        <v>14</v>
      </c>
      <c r="B33">
        <f>COUNTIF(Table1[Department],C21)</f>
        <v>6</v>
      </c>
    </row>
    <row r="34" spans="1:2" x14ac:dyDescent="0.35">
      <c r="A34">
        <v>15</v>
      </c>
      <c r="B34">
        <f>COUNTIF(Table1[Location],D19)</f>
        <v>7</v>
      </c>
    </row>
    <row r="35" spans="1:2" x14ac:dyDescent="0.35">
      <c r="A35">
        <v>16</v>
      </c>
      <c r="B35">
        <f>COUNTIF(Table1[Performance_Score],"&gt;=85")</f>
        <v>12</v>
      </c>
    </row>
    <row r="36" spans="1:2" x14ac:dyDescent="0.35">
      <c r="A36">
        <v>17</v>
      </c>
      <c r="B36">
        <f>COUNTIF(Table1[Attendance_%],"&gt;=95")</f>
        <v>9</v>
      </c>
    </row>
    <row r="37" spans="1:2" x14ac:dyDescent="0.35">
      <c r="A37">
        <v>18</v>
      </c>
      <c r="B37">
        <f>AVERAGEIF(Table1[Department],C20,Table1[Basic_Salary])</f>
        <v>37333.333333333336</v>
      </c>
    </row>
    <row r="38" spans="1:2" x14ac:dyDescent="0.35">
      <c r="A38">
        <v>19</v>
      </c>
      <c r="B38">
        <f>AVERAGEIF(Table1[Department],C21,Table1[Performance_Score])</f>
        <v>89.666666666666671</v>
      </c>
    </row>
    <row r="39" spans="1:2" x14ac:dyDescent="0.35">
      <c r="A39">
        <v>20</v>
      </c>
      <c r="B39">
        <f>AVERAGEIF(Table1[Location],D19,Table1[Sales_Achieved])</f>
        <v>283142.85714285716</v>
      </c>
    </row>
    <row r="40" spans="1:2" x14ac:dyDescent="0.35">
      <c r="A40">
        <v>21</v>
      </c>
      <c r="B40">
        <f>SUMIF(Table1[Experience_Years],"&gt;=5",Table1[Basic_Salary])</f>
        <v>432000</v>
      </c>
    </row>
    <row r="41" spans="1:2" x14ac:dyDescent="0.35">
      <c r="A41">
        <v>22</v>
      </c>
      <c r="B41">
        <f>SUMIFS(Table1[Sales_Achieved],Table1[Department],C21,Table1[Location],D21)</f>
        <v>775000</v>
      </c>
    </row>
    <row r="42" spans="1:2" x14ac:dyDescent="0.35">
      <c r="A42">
        <v>23</v>
      </c>
      <c r="B42">
        <f>SUMIFS(Table1[Bonus],Table1[Department],C20,Table1[Performance_Score],"&gt;=85")</f>
        <v>27000</v>
      </c>
    </row>
    <row r="43" spans="1:2" x14ac:dyDescent="0.35">
      <c r="A43">
        <v>24</v>
      </c>
      <c r="B43">
        <f>COUNTIFS(Table1[Location],D20,Table1[Performance_Score],"&gt;=80")</f>
        <v>2</v>
      </c>
    </row>
    <row r="44" spans="1:2" x14ac:dyDescent="0.35">
      <c r="A44">
        <v>25</v>
      </c>
      <c r="B44">
        <f>AVERAGEIFS(Table1[Basic_Salary],Table1[Department],C19,Table1[Location],D21)</f>
        <v>58000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 Mariyam K</dc:creator>
  <cp:lastModifiedBy>user</cp:lastModifiedBy>
  <dcterms:created xsi:type="dcterms:W3CDTF">2026-09-10T04:01:54Z</dcterms:created>
  <dcterms:modified xsi:type="dcterms:W3CDTF">2026-09-15T06:11:20Z</dcterms:modified>
</cp:coreProperties>
</file>