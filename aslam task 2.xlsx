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o\Downloads\"/>
    </mc:Choice>
  </mc:AlternateContent>
  <xr:revisionPtr revIDLastSave="0" documentId="13_ncr:1_{0447A48D-CD0E-46F6-9D38-652B07EBADFA}" xr6:coauthVersionLast="47" xr6:coauthVersionMax="47" xr10:uidLastSave="{00000000-0000-0000-0000-000000000000}"/>
  <bookViews>
    <workbookView xWindow="-120" yWindow="-120" windowWidth="20730" windowHeight="11040" xr2:uid="{BC918CE2-77C8-4AEC-8F4E-DE5D24EA0AE0}"/>
  </bookViews>
  <sheets>
    <sheet name="DATASET" sheetId="2" r:id="rId1"/>
    <sheet name="NOTES" sheetId="4" r:id="rId2"/>
    <sheet name="Sheet1" sheetId="5" r:id="rId3"/>
    <sheet name="TASK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L2" i="2"/>
  <c r="L3" i="2"/>
  <c r="L4" i="2"/>
  <c r="L5" i="2"/>
  <c r="L6" i="2"/>
  <c r="L7" i="2"/>
  <c r="L8" i="2"/>
  <c r="L9" i="2"/>
  <c r="L10" i="2"/>
  <c r="Q10" i="2" s="1"/>
  <c r="L11" i="2"/>
  <c r="Q11" i="2" s="1"/>
  <c r="L12" i="2"/>
  <c r="Q12" i="2" s="1"/>
  <c r="L13" i="2"/>
  <c r="Q13" i="2" s="1"/>
  <c r="L14" i="2"/>
  <c r="Q14" i="2" s="1"/>
  <c r="L15" i="2"/>
  <c r="Q15" i="2" s="1"/>
  <c r="L16" i="2"/>
  <c r="Q16" i="2" s="1"/>
  <c r="P2" i="2"/>
  <c r="Q2" i="2" s="1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P11" i="2"/>
  <c r="P12" i="2"/>
  <c r="P13" i="2"/>
  <c r="P14" i="2"/>
  <c r="P15" i="2"/>
  <c r="P1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J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B3" i="5"/>
  <c r="A3" i="5"/>
</calcChain>
</file>

<file path=xl/sharedStrings.xml><?xml version="1.0" encoding="utf-8"?>
<sst xmlns="http://schemas.openxmlformats.org/spreadsheetml/2006/main" count="126" uniqueCount="112">
  <si>
    <t>Student ID</t>
  </si>
  <si>
    <t>Student Name</t>
  </si>
  <si>
    <t>Marks</t>
  </si>
  <si>
    <t>Attendance %</t>
  </si>
  <si>
    <t>Assignment Score</t>
  </si>
  <si>
    <t>Fee Paid</t>
  </si>
  <si>
    <t>Study Hours</t>
  </si>
  <si>
    <t>S001</t>
  </si>
  <si>
    <t>Anu</t>
  </si>
  <si>
    <t>Yes</t>
  </si>
  <si>
    <t>S002</t>
  </si>
  <si>
    <t>Rahul</t>
  </si>
  <si>
    <t>S003</t>
  </si>
  <si>
    <t>Fathima</t>
  </si>
  <si>
    <t>S004</t>
  </si>
  <si>
    <t>Vishnu</t>
  </si>
  <si>
    <t>No</t>
  </si>
  <si>
    <t>S005</t>
  </si>
  <si>
    <t>Niha</t>
  </si>
  <si>
    <t>S006</t>
  </si>
  <si>
    <t>Sanjay</t>
  </si>
  <si>
    <t>S007</t>
  </si>
  <si>
    <t>Khadeeja</t>
  </si>
  <si>
    <t>S008</t>
  </si>
  <si>
    <t>Adithya</t>
  </si>
  <si>
    <t>S009</t>
  </si>
  <si>
    <t>Aiswarya</t>
  </si>
  <si>
    <t>S010</t>
  </si>
  <si>
    <t>Mohammed</t>
  </si>
  <si>
    <t>S011</t>
  </si>
  <si>
    <t>Sneha</t>
  </si>
  <si>
    <t>S012</t>
  </si>
  <si>
    <t>Arjun</t>
  </si>
  <si>
    <t>S013</t>
  </si>
  <si>
    <t>Hiba</t>
  </si>
  <si>
    <t>S014</t>
  </si>
  <si>
    <t>Nikhil</t>
  </si>
  <si>
    <t>S015</t>
  </si>
  <si>
    <t>Meera</t>
  </si>
  <si>
    <t>Rounding Functions</t>
  </si>
  <si>
    <r>
      <t xml:space="preserve">1. Use </t>
    </r>
    <r>
      <rPr>
        <sz val="10"/>
        <color theme="1"/>
        <rFont val="Arial Unicode MS"/>
      </rPr>
      <t>ROUND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to 1 decimal place.</t>
    </r>
  </si>
  <si>
    <r>
      <t xml:space="preserve">2. Use </t>
    </r>
    <r>
      <rPr>
        <sz val="10"/>
        <color theme="1"/>
        <rFont val="Arial Unicode MS"/>
      </rPr>
      <t>ROUNDUP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Assignment Score</t>
    </r>
    <r>
      <rPr>
        <sz val="11"/>
        <color theme="1"/>
        <rFont val="Aptos Narrow"/>
        <family val="2"/>
        <scheme val="minor"/>
      </rPr>
      <t xml:space="preserve"> upward to 1 decimal place.</t>
    </r>
  </si>
  <si>
    <r>
      <t xml:space="preserve">3. Use </t>
    </r>
    <r>
      <rPr>
        <sz val="10"/>
        <color theme="1"/>
        <rFont val="Arial Unicode MS"/>
      </rPr>
      <t>ROUNDDOWN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down to 0 decimal places.</t>
    </r>
  </si>
  <si>
    <r>
      <t xml:space="preserve">4. Use </t>
    </r>
    <r>
      <rPr>
        <sz val="10"/>
        <color theme="1"/>
        <rFont val="Arial Unicode MS"/>
      </rPr>
      <t>INT</t>
    </r>
    <r>
      <rPr>
        <sz val="11"/>
        <color theme="1"/>
        <rFont val="Aptos Narrow"/>
        <family val="2"/>
        <scheme val="minor"/>
      </rPr>
      <t xml:space="preserve"> to extract the whole number from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>.</t>
    </r>
  </si>
  <si>
    <r>
      <t xml:space="preserve">5. Create a </t>
    </r>
    <r>
      <rPr>
        <b/>
        <sz val="11"/>
        <color theme="1"/>
        <rFont val="Aptos Narrow"/>
        <family val="2"/>
        <scheme val="minor"/>
      </rPr>
      <t>Result</t>
    </r>
    <r>
      <rPr>
        <sz val="11"/>
        <color theme="1"/>
        <rFont val="Aptos Narrow"/>
        <family val="2"/>
        <scheme val="minor"/>
      </rPr>
      <t xml:space="preserve"> column: Marks ≥ 50 → </t>
    </r>
    <r>
      <rPr>
        <sz val="10"/>
        <color theme="1"/>
        <rFont val="Arial Unicode MS"/>
      </rPr>
      <t>"Pass"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"Fail"</t>
    </r>
    <r>
      <rPr>
        <sz val="11"/>
        <color theme="1"/>
        <rFont val="Aptos Narrow"/>
        <family val="2"/>
        <scheme val="minor"/>
      </rPr>
      <t>.</t>
    </r>
  </si>
  <si>
    <r>
      <t xml:space="preserve">6. Create an </t>
    </r>
    <r>
      <rPr>
        <b/>
        <sz val="11"/>
        <color theme="1"/>
        <rFont val="Aptos Narrow"/>
        <family val="2"/>
        <scheme val="minor"/>
      </rPr>
      <t>Attendance Status</t>
    </r>
    <r>
      <rPr>
        <sz val="11"/>
        <color theme="1"/>
        <rFont val="Aptos Narrow"/>
        <family val="2"/>
        <scheme val="minor"/>
      </rPr>
      <t xml:space="preserve"> column: Attendance ≥ 75% → </t>
    </r>
    <r>
      <rPr>
        <sz val="10"/>
        <color theme="1"/>
        <rFont val="Arial Unicode MS"/>
      </rPr>
      <t>"Eligible"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Eligible"</t>
    </r>
    <r>
      <rPr>
        <sz val="11"/>
        <color theme="1"/>
        <rFont val="Aptos Narrow"/>
        <family val="2"/>
        <scheme val="minor"/>
      </rPr>
      <t>.</t>
    </r>
  </si>
  <si>
    <r>
      <t xml:space="preserve">7. </t>
    </r>
    <r>
      <rPr>
        <b/>
        <sz val="11"/>
        <color theme="1"/>
        <rFont val="Aptos Narrow"/>
        <family val="2"/>
        <scheme val="minor"/>
      </rPr>
      <t>IF + AND: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"Excellent"</t>
    </r>
    <r>
      <rPr>
        <sz val="11"/>
        <color theme="1"/>
        <rFont val="Aptos Narrow"/>
        <family val="2"/>
        <scheme val="minor"/>
      </rPr>
      <t xml:space="preserve"> if Marks ≥ 80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90%; otherwise </t>
    </r>
    <r>
      <rPr>
        <sz val="10"/>
        <color theme="1"/>
        <rFont val="Arial Unicode MS"/>
      </rPr>
      <t>"Needs Improvement"</t>
    </r>
    <r>
      <rPr>
        <sz val="11"/>
        <color theme="1"/>
        <rFont val="Aptos Narrow"/>
        <family val="2"/>
        <scheme val="minor"/>
      </rPr>
      <t>.</t>
    </r>
  </si>
  <si>
    <r>
      <t xml:space="preserve">8. </t>
    </r>
    <r>
      <rPr>
        <b/>
        <sz val="11"/>
        <color theme="1"/>
        <rFont val="Aptos Narrow"/>
        <family val="2"/>
        <scheme val="minor"/>
      </rPr>
      <t>IF + OR: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"Action Required"</t>
    </r>
    <r>
      <rPr>
        <sz val="11"/>
        <color theme="1"/>
        <rFont val="Aptos Narrow"/>
        <family val="2"/>
        <scheme val="minor"/>
      </rPr>
      <t xml:space="preserve"> if Marks &lt; 50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Attendance &lt; 75%;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</si>
  <si>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r>
      <t xml:space="preserve">9. </t>
    </r>
    <r>
      <rPr>
        <b/>
        <sz val="11"/>
        <color theme="1"/>
        <rFont val="Aptos Narrow"/>
        <family val="2"/>
        <scheme val="minor"/>
      </rPr>
      <t>IFS:</t>
    </r>
    <r>
      <rPr>
        <sz val="11"/>
        <color theme="1"/>
        <rFont val="Aptos Narrow"/>
        <family val="2"/>
        <scheme val="minor"/>
      </rPr>
      <t xml:space="preserve"> Create a </t>
    </r>
    <r>
      <rPr>
        <b/>
        <sz val="11"/>
        <color theme="1"/>
        <rFont val="Aptos Narrow"/>
        <family val="2"/>
        <scheme val="minor"/>
      </rPr>
      <t>Grade</t>
    </r>
    <r>
      <rPr>
        <sz val="11"/>
        <color theme="1"/>
        <rFont val="Aptos Narrow"/>
        <family val="2"/>
        <scheme val="minor"/>
      </rPr>
      <t xml:space="preserve"> column:</t>
    </r>
  </si>
  <si>
    <t>Marks ≥ 90 → A+</t>
  </si>
  <si>
    <t>Marks ≥ 80 → A</t>
  </si>
  <si>
    <t>Marks ≥ 70 → B</t>
  </si>
  <si>
    <t>Marks ≥ 60 → C</t>
  </si>
  <si>
    <t>Marks ≥ 50 → D</t>
  </si>
  <si>
    <t>Marks &lt; 50 → F</t>
  </si>
  <si>
    <t>Function Name</t>
  </si>
  <si>
    <t>Description</t>
  </si>
  <si>
    <t>Syntax</t>
  </si>
  <si>
    <t>Example</t>
  </si>
  <si>
    <t>Real-Life Use Case</t>
  </si>
  <si>
    <t>ROUND</t>
  </si>
  <si>
    <t>Rounds a number to a specified number of digits.</t>
  </si>
  <si>
    <t>ROUND(number, num_digits)</t>
  </si>
  <si>
    <r>
      <t>ROUND(78.456, 2)</t>
    </r>
    <r>
      <rPr>
        <sz val="11"/>
        <color theme="1"/>
        <rFont val="Aptos Narrow"/>
        <family val="2"/>
        <scheme val="minor"/>
      </rPr>
      <t xml:space="preserve"> → 78.46</t>
    </r>
  </si>
  <si>
    <t>Rounding marks, prices, percentages, or calculated values to a fixed number of decimal places.</t>
  </si>
  <si>
    <t>ROUNDUP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</si>
  <si>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, away from zero.</t>
    </r>
  </si>
  <si>
    <t>ROUNDUP(number, num_digits)</t>
  </si>
  <si>
    <r>
      <t>ROUNDUP(65.234, 2)</t>
    </r>
    <r>
      <rPr>
        <sz val="11"/>
        <color theme="1"/>
        <rFont val="Aptos Narrow"/>
        <family val="2"/>
        <scheme val="minor"/>
      </rPr>
      <t xml:space="preserve"> → 65.24</t>
    </r>
  </si>
  <si>
    <t>Calculating charges or quantities where the value should always be rounded upward.</t>
  </si>
  <si>
    <t>ROUNDDOWN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</si>
  <si>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down</t>
    </r>
    <r>
      <rPr>
        <sz val="11"/>
        <color theme="1"/>
        <rFont val="Aptos Narrow"/>
        <family val="2"/>
        <scheme val="minor"/>
      </rPr>
      <t>, toward zero.</t>
    </r>
  </si>
  <si>
    <t>Logical Basics – IF</t>
  </si>
  <si>
    <t>Multiple Conditions</t>
  </si>
  <si>
    <t>ROUNDDOWN(number, num_digits)</t>
  </si>
  <si>
    <r>
      <t>ROUNDDOWN(65.238, 2)</t>
    </r>
    <r>
      <rPr>
        <sz val="11"/>
        <color theme="1"/>
        <rFont val="Aptos Narrow"/>
        <family val="2"/>
        <scheme val="minor"/>
      </rPr>
      <t xml:space="preserve"> → 65.23</t>
    </r>
  </si>
  <si>
    <t>Calculating available quantities or conservative estimates where values should not exceed the actual amount.</t>
  </si>
  <si>
    <t>INT</t>
  </si>
  <si>
    <t>Removes the decimal portion and returns the integer part of a number.</t>
  </si>
  <si>
    <t>INT(number)</t>
  </si>
  <si>
    <r>
      <t>INT(5.9)</t>
    </r>
    <r>
      <rPr>
        <sz val="11"/>
        <color theme="1"/>
        <rFont val="Aptos Narrow"/>
        <family val="2"/>
        <scheme val="minor"/>
      </rPr>
      <t xml:space="preserve"> → 5</t>
    </r>
  </si>
  <si>
    <t>Finding completed years, full units, or whole hours from decimal values.</t>
  </si>
  <si>
    <t>IF</t>
  </si>
  <si>
    <t>Checks a condition and returns one value if TRUE and another if FALSE.</t>
  </si>
  <si>
    <t>IF(logical_test, value_if_true, value_if_false)</t>
  </si>
  <si>
    <r>
      <t>IF(78&gt;=50,"Pass","Fail")</t>
    </r>
    <r>
      <rPr>
        <sz val="11"/>
        <color theme="1"/>
        <rFont val="Aptos Narrow"/>
        <family val="2"/>
        <scheme val="minor"/>
      </rPr>
      <t xml:space="preserve"> → Pass</t>
    </r>
  </si>
  <si>
    <t>Identifying students as Pass/Fail, employees as Eligible/Not Eligible, or products as Available/Unavailable.</t>
  </si>
  <si>
    <t>IF + AND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</si>
  <si>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specified conditions are TRUE.</t>
    </r>
  </si>
  <si>
    <t>IF(AND(condition1, condition2), value_if_true, value_if_false)</t>
  </si>
  <si>
    <r>
      <t>IF(AND(78&gt;=50,92.5&gt;=75),"Eligible","Not Eligible")</t>
    </r>
    <r>
      <rPr>
        <sz val="11"/>
        <color theme="1"/>
        <rFont val="Aptos Narrow"/>
        <family val="2"/>
        <scheme val="minor"/>
      </rPr>
      <t xml:space="preserve"> → Eligible</t>
    </r>
  </si>
  <si>
    <r>
      <t xml:space="preserve">Checking eligibility when multiple requirements must be satisfied, such as minimum marks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attendance.</t>
    </r>
  </si>
  <si>
    <t>IF + OR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</si>
  <si>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at least one</t>
    </r>
    <r>
      <rPr>
        <sz val="11"/>
        <color theme="1"/>
        <rFont val="Aptos Narrow"/>
        <family val="2"/>
        <scheme val="minor"/>
      </rPr>
      <t xml:space="preserve"> of the specified conditions is TRUE.</t>
    </r>
  </si>
  <si>
    <t>IF(OR(condition1, condition2), value_if_true, value_if_false)</t>
  </si>
  <si>
    <r>
      <t>IF(OR(43&lt;50,68.5&lt;75),"Action Required","Normal")</t>
    </r>
    <r>
      <rPr>
        <sz val="11"/>
        <color theme="1"/>
        <rFont val="Aptos Narrow"/>
        <family val="2"/>
        <scheme val="minor"/>
      </rPr>
      <t xml:space="preserve"> → Action Required</t>
    </r>
  </si>
  <si>
    <r>
      <t xml:space="preserve">Flagging students who have either low marks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low attendance.</t>
    </r>
  </si>
  <si>
    <t>IFS</t>
  </si>
  <si>
    <r>
      <t xml:space="preserve">Checks multiple conditions and returns the result for the </t>
    </r>
    <r>
      <rPr>
        <b/>
        <sz val="11"/>
        <color theme="1"/>
        <rFont val="Aptos Narrow"/>
        <family val="2"/>
        <scheme val="minor"/>
      </rPr>
      <t>first TRUE condition</t>
    </r>
    <r>
      <rPr>
        <sz val="11"/>
        <color theme="1"/>
        <rFont val="Aptos Narrow"/>
        <family val="2"/>
        <scheme val="minor"/>
      </rPr>
      <t>.</t>
    </r>
  </si>
  <si>
    <t>IFS(condition1, value1, condition2, value2, ...)</t>
  </si>
  <si>
    <r>
      <t>IFS(93&gt;=90,"A+",93&gt;=80,"A",93&gt;=70,"B")</t>
    </r>
    <r>
      <rPr>
        <sz val="11"/>
        <color theme="1"/>
        <rFont val="Aptos Narrow"/>
        <family val="2"/>
        <scheme val="minor"/>
      </rPr>
      <t xml:space="preserve"> → A+</t>
    </r>
  </si>
  <si>
    <t>Assigning grades, performance levels, salary bands, risk categories, or customer segments based on ranges.</t>
  </si>
  <si>
    <t>Column2</t>
  </si>
  <si>
    <t>Column3</t>
  </si>
  <si>
    <t>Column4</t>
  </si>
  <si>
    <t>Column5</t>
  </si>
  <si>
    <t>result</t>
  </si>
  <si>
    <t>Column6</t>
  </si>
  <si>
    <t>Column7</t>
  </si>
  <si>
    <t>EXAM ELIGIBLITY</t>
  </si>
  <si>
    <t>PERFORMANCE</t>
  </si>
  <si>
    <t>CATOUGARY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</si>
</sst>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33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35B992-3122-428B-853D-43A1FBBA197F}" name="Table5" displayName="Table5" ref="A1:R16" totalsRowShown="0" headerRowDxfId="32" dataDxfId="31">
  <autoFilter ref="A1:R16" xr:uid="{2135B992-3122-428B-853D-43A1FBBA197F}"/>
  <tableColumns count="18">
    <tableColumn id="1" xr3:uid="{F85C8D28-4C22-4BCD-BF99-0FCC12BA67CC}" name="Student ID" dataDxfId="30"/>
    <tableColumn id="2" xr3:uid="{0221FDF1-2A69-4C33-91FC-8CD53059A381}" name="Student Name" dataDxfId="29"/>
    <tableColumn id="3" xr3:uid="{5D227D15-920E-497F-9313-AE55B3E6B40B}" name="Marks" dataDxfId="28"/>
    <tableColumn id="4" xr3:uid="{C1C1669A-27D7-4536-908F-ECEA932F3274}" name="Attendance %" dataDxfId="27"/>
    <tableColumn id="5" xr3:uid="{3012DE8A-A974-4ED1-912E-50B153752FD0}" name="Assignment Score" dataDxfId="26"/>
    <tableColumn id="6" xr3:uid="{2B11FC4A-D5D1-488E-B585-2AE5CCF2E40A}" name="Fee Paid" dataDxfId="25"/>
    <tableColumn id="7" xr3:uid="{FBD6485D-0BC8-4EC4-8229-596882C0CA54}" name="Study Hours" dataDxfId="24"/>
    <tableColumn id="8" xr3:uid="{351CDFA0-D3CD-4C83-9C97-E7F81434D0D5}" name="ROUND" dataDxfId="23">
      <calculatedColumnFormula>ROUND(Table5[[#This Row],[Marks]],1)</calculatedColumnFormula>
    </tableColumn>
    <tableColumn id="9" xr3:uid="{0F6B7154-A90B-4C67-8ECD-7EFDE977D277}" name="Column2" dataDxfId="22">
      <calculatedColumnFormula>ROUNDUP(Table5[[#This Row],[Assignment Score]],1)</calculatedColumnFormula>
    </tableColumn>
    <tableColumn id="10" xr3:uid="{149405A8-28B3-47A7-9C8C-491E8258E13A}" name="Column3" dataDxfId="21">
      <calculatedColumnFormula>ROUNDDOWN(Table5[[#This Row],[Study Hours]],0)</calculatedColumnFormula>
    </tableColumn>
    <tableColumn id="11" xr3:uid="{1473C31B-17CD-4AFD-8186-CEEE1414C7C1}" name="Column4" dataDxfId="20">
      <calculatedColumnFormula>INT(Table5[[#This Row],[Study Hours]])</calculatedColumnFormula>
    </tableColumn>
    <tableColumn id="12" xr3:uid="{AB5D2E3F-B35B-48D2-93ED-A965FF349CFB}" name="result" dataDxfId="2">
      <calculatedColumnFormula>IF(Table5[[#This Row],[Marks]]&gt;50,"PASS","FAIL")</calculatedColumnFormula>
    </tableColumn>
    <tableColumn id="14" xr3:uid="{86F221F4-6B89-4DA7-AEF6-9CEFD47AC70F}" name="Column5" dataDxfId="4">
      <calculatedColumnFormula>IF(Table5[[#This Row],[Attendance %]]&gt;75,"ELIGIBLE","NOT ELLIGIBLE")</calculatedColumnFormula>
    </tableColumn>
    <tableColumn id="15" xr3:uid="{A7CD957D-3B2A-4B08-A975-34C0A59FE3BF}" name="Column6" dataDxfId="5">
      <calculatedColumnFormula>IF(Table5[[#This Row],[Assignment Score]]&gt;70,"EXCELLENT","GOOD")</calculatedColumnFormula>
    </tableColumn>
    <tableColumn id="16" xr3:uid="{1ABFE9F1-614A-42FA-9CCD-B7C59E762D99}" name="Column7" dataDxfId="6">
      <calculatedColumnFormula>IF(Table5[[#This Row],[Fee Paid]]="Yes","PAID","NOT PAID")</calculatedColumnFormula>
    </tableColumn>
    <tableColumn id="17" xr3:uid="{1CD669A3-91E1-4666-B088-4BA78D7410BA}" name="EXAM ELIGIBLITY" dataDxfId="3">
      <calculatedColumnFormula>IF(AND(Table5[[#This Row],[Marks]]&gt;=75,Table5[[#This Row],[Attendance %]]&gt;=75),"ELIGIBLE","NOT ELIGIBLE")</calculatedColumnFormula>
    </tableColumn>
    <tableColumn id="18" xr3:uid="{798E74B1-AFA4-4C9F-A549-5CD978022215}" name="PERFORMANCE" dataDxfId="1">
      <calculatedColumnFormula>IF(AND(Table5[[#This Row],[EXAM ELIGIBLITY]]="ELIGIBLE",Table5[[#This Row],[result]]="PASS"),"EXCELLENT","NEED IMPROVE")</calculatedColumnFormula>
    </tableColumn>
    <tableColumn id="19" xr3:uid="{144300FF-9AA8-4103-94A4-9DA49A641FFE}" name="CATOUGARY" dataDxfId="0">
      <calculatedColumnFormula>IF(AND(Table5[[#This Row],[result]]="PASS",Table5[[#This Row],[Column7]]="PAID"),"ALL GOOD","NEEDS ATTENTION")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57CA4-D267-45A2-A050-43F2A29A8442}" name="Table4" displayName="Table4" ref="A1:E9" totalsRowShown="0" headerRowDxfId="19">
  <autoFilter ref="A1:E9" xr:uid="{8A957CA4-D267-45A2-A050-43F2A29A8442}"/>
  <tableColumns count="5">
    <tableColumn id="1" xr3:uid="{E0D0E90F-C195-4363-8BE3-7D5CE6021B8E}" name="Function Name" dataDxfId="18"/>
    <tableColumn id="2" xr3:uid="{41543977-A0D4-461E-BF64-DF26C340456E}" name="Description" dataDxfId="17"/>
    <tableColumn id="3" xr3:uid="{67B49169-EBA6-4CB8-B5D6-FEC0C61E2ABC}" name="Syntax" dataDxfId="16"/>
    <tableColumn id="4" xr3:uid="{984B1B87-37B3-467B-B88D-E79DC2632900}" name="Example" dataDxfId="15"/>
    <tableColumn id="5" xr3:uid="{9639BBFE-AED9-4ECC-84D3-969F02770A8F}" name="Real-Life Use Case" dataDxfId="1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FC3DB-D544-47DC-B27E-4C80FD3F3C51}" name="Table1" displayName="Table1" ref="A1:A6" totalsRowShown="0" headerRowDxfId="13" dataDxfId="12">
  <autoFilter ref="A1:A6" xr:uid="{1EFFC3DB-D544-47DC-B27E-4C80FD3F3C51}"/>
  <tableColumns count="1">
    <tableColumn id="1" xr3:uid="{172E5DF3-32C4-4290-B0CE-65E47E21D1E1}" name="Rounding Functions" dataDxfId="1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12BE5-6C14-4518-B5BF-D7F9DAA1F647}" name="Table2" displayName="Table2" ref="A8:A10" totalsRowShown="0" headerRowDxfId="10">
  <autoFilter ref="A8:A10" xr:uid="{C2212BE5-6C14-4518-B5BF-D7F9DAA1F647}"/>
  <tableColumns count="1">
    <tableColumn id="1" xr3:uid="{38AA584F-DE78-47D4-9321-39C8A4E0ACD6}" name="Logical Basics – IF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221CC1-9F1B-4681-A9B8-7570A86FD121}" name="Table3" displayName="Table3" ref="A12:A22" totalsRowShown="0" headerRowDxfId="9" dataDxfId="8">
  <autoFilter ref="A12:A22" xr:uid="{86221CC1-9F1B-4681-A9B8-7570A86FD121}"/>
  <tableColumns count="1">
    <tableColumn id="1" xr3:uid="{EDDA1A1C-B379-44BC-A732-3372EFE6E50C}" name="Multiple Conditions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6E0B-C791-4525-A778-E522089C397C}">
  <dimension ref="A1:R16"/>
  <sheetViews>
    <sheetView tabSelected="1" topLeftCell="C1" zoomScale="76" workbookViewId="0">
      <selection activeCell="R3" sqref="R3"/>
    </sheetView>
  </sheetViews>
  <sheetFormatPr defaultRowHeight="15"/>
  <cols>
    <col min="1" max="1" width="12.7109375" customWidth="1"/>
    <col min="2" max="2" width="16" customWidth="1"/>
    <col min="4" max="4" width="15.42578125" customWidth="1"/>
    <col min="5" max="5" width="19.28515625" customWidth="1"/>
    <col min="6" max="6" width="10.7109375" customWidth="1"/>
    <col min="7" max="7" width="14.140625" customWidth="1"/>
    <col min="13" max="13" width="11.28515625" customWidth="1"/>
    <col min="14" max="14" width="12" customWidth="1"/>
    <col min="16" max="16" width="17.85546875" customWidth="1"/>
    <col min="17" max="17" width="18.5703125" customWidth="1"/>
    <col min="18" max="18" width="18.28515625" customWidth="1"/>
  </cols>
  <sheetData>
    <row r="1" spans="1:18" ht="3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60</v>
      </c>
      <c r="I1" s="3" t="s">
        <v>102</v>
      </c>
      <c r="J1" s="3" t="s">
        <v>103</v>
      </c>
      <c r="K1" s="3" t="s">
        <v>104</v>
      </c>
      <c r="L1" s="3" t="s">
        <v>106</v>
      </c>
      <c r="M1" s="3" t="s">
        <v>105</v>
      </c>
      <c r="N1" s="3" t="s">
        <v>107</v>
      </c>
      <c r="O1" s="3" t="s">
        <v>108</v>
      </c>
      <c r="P1" s="3" t="s">
        <v>109</v>
      </c>
      <c r="Q1" s="3" t="s">
        <v>110</v>
      </c>
      <c r="R1" s="3" t="s">
        <v>111</v>
      </c>
    </row>
    <row r="2" spans="1:18">
      <c r="A2" s="4" t="s">
        <v>7</v>
      </c>
      <c r="B2" s="4" t="s">
        <v>8</v>
      </c>
      <c r="C2" s="2">
        <v>78.456000000000003</v>
      </c>
      <c r="D2" s="2">
        <v>92.5</v>
      </c>
      <c r="E2" s="2">
        <v>85.75</v>
      </c>
      <c r="F2" s="4" t="s">
        <v>9</v>
      </c>
      <c r="G2" s="2">
        <v>4.5</v>
      </c>
      <c r="H2" s="2">
        <f>ROUND(Table5[[#This Row],[Marks]],1)</f>
        <v>78.5</v>
      </c>
      <c r="I2" s="2">
        <f>ROUNDUP(Table5[[#This Row],[Assignment Score]],1)</f>
        <v>85.8</v>
      </c>
      <c r="J2" s="2">
        <f>ROUNDDOWN(Table5[[#This Row],[Study Hours]],0)</f>
        <v>4</v>
      </c>
      <c r="K2" s="2">
        <f>INT(Table5[[#This Row],[Study Hours]])</f>
        <v>4</v>
      </c>
      <c r="L2" s="10" t="str">
        <f>IF(Table5[[#This Row],[Marks]]&gt;50,"PASS","FAIL")</f>
        <v>PASS</v>
      </c>
      <c r="M2" s="10" t="str">
        <f>IF(Table5[[#This Row],[Attendance %]]&gt;75,"ELIGIBLE","NOT ELLIGIBLE")</f>
        <v>ELIGIBLE</v>
      </c>
      <c r="N2" s="10" t="str">
        <f>IF(Table5[[#This Row],[Assignment Score]]&gt;70,"EXCELLENT","GOOD")</f>
        <v>EXCELLENT</v>
      </c>
      <c r="O2" s="10" t="str">
        <f>IF(Table5[[#This Row],[Fee Paid]]="Yes","PAID","NOT PAID")</f>
        <v>PAID</v>
      </c>
      <c r="P2" s="10" t="str">
        <f>IF(AND(Table5[[#This Row],[Marks]]&gt;=75,Table5[[#This Row],[Attendance %]]&gt;=75),"ELIGIBLE","NOT ELIGIBLE")</f>
        <v>ELIGIBLE</v>
      </c>
      <c r="Q2" s="10" t="str">
        <f>IF(AND(Table5[[#This Row],[EXAM ELIGIBLITY]]="ELIGIBLE",Table5[[#This Row],[result]]="PASS"),"EXCELLENT","NEED IMPROVE")</f>
        <v>EXCELLENT</v>
      </c>
      <c r="R2" s="10" t="str">
        <f>IF(AND(Table5[[#This Row],[result]]="PASS",Table5[[#This Row],[Column7]]="PAID"),"ALL GOOD","NEEDS ATTENTION")</f>
        <v>ALL GOOD</v>
      </c>
    </row>
    <row r="3" spans="1:18">
      <c r="A3" s="4" t="s">
        <v>10</v>
      </c>
      <c r="B3" s="4" t="s">
        <v>11</v>
      </c>
      <c r="C3" s="2">
        <v>65.789000000000001</v>
      </c>
      <c r="D3" s="2">
        <v>88.2</v>
      </c>
      <c r="E3" s="2">
        <v>72.349999999999994</v>
      </c>
      <c r="F3" s="4" t="s">
        <v>9</v>
      </c>
      <c r="G3" s="2">
        <v>3.2</v>
      </c>
      <c r="H3" s="2">
        <f>ROUND(Table5[[#This Row],[Marks]],1)</f>
        <v>65.8</v>
      </c>
      <c r="I3" s="2">
        <f>ROUNDUP(Table5[[#This Row],[Assignment Score]],1)</f>
        <v>72.399999999999991</v>
      </c>
      <c r="J3" s="2">
        <f>ROUNDDOWN(Table5[[#This Row],[Study Hours]],0)</f>
        <v>3</v>
      </c>
      <c r="K3" s="2">
        <f>INT(Table5[[#This Row],[Study Hours]])</f>
        <v>3</v>
      </c>
      <c r="L3" s="10" t="str">
        <f>IF(Table5[[#This Row],[Marks]]&gt;50,"PASS","FAIL")</f>
        <v>PASS</v>
      </c>
      <c r="M3" s="10" t="str">
        <f>IF(Table5[[#This Row],[Attendance %]]&gt;75,"ELIGIBLE","NOT ELLIGIBLE")</f>
        <v>ELIGIBLE</v>
      </c>
      <c r="N3" s="10" t="str">
        <f>IF(Table5[[#This Row],[Assignment Score]]&gt;70,"EXCELLENT","GOOD")</f>
        <v>EXCELLENT</v>
      </c>
      <c r="O3" s="10" t="str">
        <f>IF(Table5[[#This Row],[Fee Paid]]="Yes","PAID","NOT PAID")</f>
        <v>PAID</v>
      </c>
      <c r="P3" s="10" t="str">
        <f>IF(AND(Table5[[#This Row],[Marks]]&gt;=75,Table5[[#This Row],[Attendance %]]&gt;=75),"ELIGIBLE","NOT ELIGIBLE")</f>
        <v>NOT ELIGIBLE</v>
      </c>
      <c r="Q3" s="10" t="str">
        <f>IF(AND(Table5[[#This Row],[EXAM ELIGIBLITY]]="ELIGIBLE",Table5[[#This Row],[result]]="PASS"),"EXCELLENT","NEED IMPROVE")</f>
        <v>NEED IMPROVE</v>
      </c>
      <c r="R3" s="10" t="str">
        <f>IF(AND(Table5[[#This Row],[result]]="PASS",Table5[[#This Row],[Column7]]="PAID"),"ALL GOOD","NEEDS ATTENTION")</f>
        <v>ALL GOOD</v>
      </c>
    </row>
    <row r="4" spans="1:18">
      <c r="A4" s="4" t="s">
        <v>12</v>
      </c>
      <c r="B4" s="4" t="s">
        <v>13</v>
      </c>
      <c r="C4" s="2">
        <v>91.233999999999995</v>
      </c>
      <c r="D4" s="2">
        <v>96.8</v>
      </c>
      <c r="E4" s="2">
        <v>94.6</v>
      </c>
      <c r="F4" s="4" t="s">
        <v>9</v>
      </c>
      <c r="G4" s="2">
        <v>5.7</v>
      </c>
      <c r="H4" s="2">
        <f>ROUND(Table5[[#This Row],[Marks]],1)</f>
        <v>91.2</v>
      </c>
      <c r="I4" s="2">
        <f>ROUNDUP(Table5[[#This Row],[Assignment Score]],1)</f>
        <v>94.6</v>
      </c>
      <c r="J4" s="2">
        <f>ROUNDDOWN(Table5[[#This Row],[Study Hours]],0)</f>
        <v>5</v>
      </c>
      <c r="K4" s="2">
        <f>INT(Table5[[#This Row],[Study Hours]])</f>
        <v>5</v>
      </c>
      <c r="L4" s="10" t="str">
        <f>IF(Table5[[#This Row],[Marks]]&gt;50,"PASS","FAIL")</f>
        <v>PASS</v>
      </c>
      <c r="M4" s="10" t="str">
        <f>IF(Table5[[#This Row],[Attendance %]]&gt;75,"ELIGIBLE","NOT ELLIGIBLE")</f>
        <v>ELIGIBLE</v>
      </c>
      <c r="N4" s="10" t="str">
        <f>IF(Table5[[#This Row],[Assignment Score]]&gt;70,"EXCELLENT","GOOD")</f>
        <v>EXCELLENT</v>
      </c>
      <c r="O4" s="10" t="str">
        <f>IF(Table5[[#This Row],[Fee Paid]]="Yes","PAID","NOT PAID")</f>
        <v>PAID</v>
      </c>
      <c r="P4" s="10" t="str">
        <f>IF(AND(Table5[[#This Row],[Marks]]&gt;=75,Table5[[#This Row],[Attendance %]]&gt;=75),"ELIGIBLE","NOT ELIGIBLE")</f>
        <v>ELIGIBLE</v>
      </c>
      <c r="Q4" s="10" t="str">
        <f>IF(AND(Table5[[#This Row],[EXAM ELIGIBLITY]]="ELIGIBLE",Table5[[#This Row],[result]]="PASS"),"EXCELLENT","NEED IMPROVE")</f>
        <v>EXCELLENT</v>
      </c>
      <c r="R4" s="10" t="str">
        <f>IF(AND(Table5[[#This Row],[result]]="PASS",Table5[[#This Row],[Column7]]="PAID"),"ALL GOOD","NEEDS ATTENTION")</f>
        <v>ALL GOOD</v>
      </c>
    </row>
    <row r="5" spans="1:18" ht="30">
      <c r="A5" s="4" t="s">
        <v>14</v>
      </c>
      <c r="B5" s="4" t="s">
        <v>15</v>
      </c>
      <c r="C5" s="2">
        <v>54.677999999999997</v>
      </c>
      <c r="D5" s="2">
        <v>72.400000000000006</v>
      </c>
      <c r="E5" s="2">
        <v>61.25</v>
      </c>
      <c r="F5" s="4" t="s">
        <v>16</v>
      </c>
      <c r="G5" s="2">
        <v>2.1</v>
      </c>
      <c r="H5" s="2">
        <f>ROUND(Table5[[#This Row],[Marks]],1)</f>
        <v>54.7</v>
      </c>
      <c r="I5" s="2">
        <f>ROUNDUP(Table5[[#This Row],[Assignment Score]],1)</f>
        <v>61.300000000000004</v>
      </c>
      <c r="J5" s="2">
        <f>ROUNDDOWN(Table5[[#This Row],[Study Hours]],0)</f>
        <v>2</v>
      </c>
      <c r="K5" s="2">
        <f>INT(Table5[[#This Row],[Study Hours]])</f>
        <v>2</v>
      </c>
      <c r="L5" s="10" t="str">
        <f>IF(Table5[[#This Row],[Marks]]&gt;50,"PASS","FAIL")</f>
        <v>PASS</v>
      </c>
      <c r="M5" s="10" t="str">
        <f>IF(Table5[[#This Row],[Attendance %]]&gt;75,"ELIGIBLE","NOT ELLIGIBLE")</f>
        <v>NOT ELLIGIBLE</v>
      </c>
      <c r="N5" s="10" t="str">
        <f>IF(Table5[[#This Row],[Assignment Score]]&gt;70,"EXCELLENT","GOOD")</f>
        <v>GOOD</v>
      </c>
      <c r="O5" s="10" t="str">
        <f>IF(Table5[[#This Row],[Fee Paid]]="Yes","PAID","NOT PAID")</f>
        <v>NOT PAID</v>
      </c>
      <c r="P5" s="10" t="str">
        <f>IF(AND(Table5[[#This Row],[Marks]]&gt;=75,Table5[[#This Row],[Attendance %]]&gt;=75),"ELIGIBLE","NOT ELIGIBLE")</f>
        <v>NOT ELIGIBLE</v>
      </c>
      <c r="Q5" s="10" t="str">
        <f>IF(AND(Table5[[#This Row],[EXAM ELIGIBLITY]]="ELIGIBLE",Table5[[#This Row],[result]]="PASS"),"EXCELLENT","NEED IMPROVE")</f>
        <v>NEED IMPROVE</v>
      </c>
      <c r="R5" s="10" t="str">
        <f>IF(AND(Table5[[#This Row],[result]]="PASS",Table5[[#This Row],[Column7]]="PAID"),"ALL GOOD","NEEDS ATTENTION")</f>
        <v>NEEDS ATTENTION</v>
      </c>
    </row>
    <row r="6" spans="1:18">
      <c r="A6" s="4" t="s">
        <v>17</v>
      </c>
      <c r="B6" s="4" t="s">
        <v>18</v>
      </c>
      <c r="C6" s="2">
        <v>82.344999999999999</v>
      </c>
      <c r="D6" s="2">
        <v>91.6</v>
      </c>
      <c r="E6" s="2">
        <v>88.45</v>
      </c>
      <c r="F6" s="4" t="s">
        <v>9</v>
      </c>
      <c r="G6" s="2">
        <v>4.8</v>
      </c>
      <c r="H6" s="2">
        <f>ROUND(Table5[[#This Row],[Marks]],1)</f>
        <v>82.3</v>
      </c>
      <c r="I6" s="2">
        <f>ROUNDUP(Table5[[#This Row],[Assignment Score]],1)</f>
        <v>88.5</v>
      </c>
      <c r="J6" s="2">
        <f>ROUNDDOWN(Table5[[#This Row],[Study Hours]],0)</f>
        <v>4</v>
      </c>
      <c r="K6" s="2">
        <f>INT(Table5[[#This Row],[Study Hours]])</f>
        <v>4</v>
      </c>
      <c r="L6" s="10" t="str">
        <f>IF(Table5[[#This Row],[Marks]]&gt;50,"PASS","FAIL")</f>
        <v>PASS</v>
      </c>
      <c r="M6" s="10" t="str">
        <f>IF(Table5[[#This Row],[Attendance %]]&gt;75,"ELIGIBLE","NOT ELLIGIBLE")</f>
        <v>ELIGIBLE</v>
      </c>
      <c r="N6" s="10" t="str">
        <f>IF(Table5[[#This Row],[Assignment Score]]&gt;70,"EXCELLENT","GOOD")</f>
        <v>EXCELLENT</v>
      </c>
      <c r="O6" s="10" t="str">
        <f>IF(Table5[[#This Row],[Fee Paid]]="Yes","PAID","NOT PAID")</f>
        <v>PAID</v>
      </c>
      <c r="P6" s="10" t="str">
        <f>IF(AND(Table5[[#This Row],[Marks]]&gt;=75,Table5[[#This Row],[Attendance %]]&gt;=75),"ELIGIBLE","NOT ELIGIBLE")</f>
        <v>ELIGIBLE</v>
      </c>
      <c r="Q6" s="10" t="str">
        <f>IF(AND(Table5[[#This Row],[EXAM ELIGIBLITY]]="ELIGIBLE",Table5[[#This Row],[result]]="PASS"),"EXCELLENT","NEED IMPROVE")</f>
        <v>EXCELLENT</v>
      </c>
      <c r="R6" s="10" t="str">
        <f>IF(AND(Table5[[#This Row],[result]]="PASS",Table5[[#This Row],[Column7]]="PAID"),"ALL GOOD","NEEDS ATTENTION")</f>
        <v>ALL GOOD</v>
      </c>
    </row>
    <row r="7" spans="1:18" ht="30">
      <c r="A7" s="4" t="s">
        <v>19</v>
      </c>
      <c r="B7" s="4" t="s">
        <v>20</v>
      </c>
      <c r="C7" s="2">
        <v>43.567</v>
      </c>
      <c r="D7" s="2">
        <v>68.5</v>
      </c>
      <c r="E7" s="2">
        <v>55.8</v>
      </c>
      <c r="F7" s="4" t="s">
        <v>16</v>
      </c>
      <c r="G7" s="2">
        <v>1.5</v>
      </c>
      <c r="H7" s="2">
        <f>ROUND(Table5[[#This Row],[Marks]],1)</f>
        <v>43.6</v>
      </c>
      <c r="I7" s="2">
        <f>ROUNDUP(Table5[[#This Row],[Assignment Score]],1)</f>
        <v>55.8</v>
      </c>
      <c r="J7" s="2">
        <f>ROUNDDOWN(Table5[[#This Row],[Study Hours]],0)</f>
        <v>1</v>
      </c>
      <c r="K7" s="2">
        <f>INT(Table5[[#This Row],[Study Hours]])</f>
        <v>1</v>
      </c>
      <c r="L7" s="10" t="str">
        <f>IF(Table5[[#This Row],[Marks]]&gt;50,"PASS","FAIL")</f>
        <v>FAIL</v>
      </c>
      <c r="M7" s="10" t="str">
        <f>IF(Table5[[#This Row],[Attendance %]]&gt;75,"ELIGIBLE","NOT ELLIGIBLE")</f>
        <v>NOT ELLIGIBLE</v>
      </c>
      <c r="N7" s="10" t="str">
        <f>IF(Table5[[#This Row],[Assignment Score]]&gt;70,"EXCELLENT","GOOD")</f>
        <v>GOOD</v>
      </c>
      <c r="O7" s="10" t="str">
        <f>IF(Table5[[#This Row],[Fee Paid]]="Yes","PAID","NOT PAID")</f>
        <v>NOT PAID</v>
      </c>
      <c r="P7" s="10" t="str">
        <f>IF(AND(Table5[[#This Row],[Marks]]&gt;=75,Table5[[#This Row],[Attendance %]]&gt;=75),"ELIGIBLE","NOT ELIGIBLE")</f>
        <v>NOT ELIGIBLE</v>
      </c>
      <c r="Q7" s="10" t="str">
        <f>IF(AND(Table5[[#This Row],[EXAM ELIGIBLITY]]="ELIGIBLE",Table5[[#This Row],[result]]="PASS"),"EXCELLENT","NEED IMPROVE")</f>
        <v>NEED IMPROVE</v>
      </c>
      <c r="R7" s="10" t="str">
        <f>IF(AND(Table5[[#This Row],[result]]="PASS",Table5[[#This Row],[Column7]]="PAID"),"ALL GOOD","NEEDS ATTENTION")</f>
        <v>NEEDS ATTENTION</v>
      </c>
    </row>
    <row r="8" spans="1:18">
      <c r="A8" s="4" t="s">
        <v>21</v>
      </c>
      <c r="B8" s="4" t="s">
        <v>22</v>
      </c>
      <c r="C8" s="2">
        <v>74.891000000000005</v>
      </c>
      <c r="D8" s="2">
        <v>85.7</v>
      </c>
      <c r="E8" s="2">
        <v>79.349999999999994</v>
      </c>
      <c r="F8" s="4" t="s">
        <v>9</v>
      </c>
      <c r="G8" s="2">
        <v>3.9</v>
      </c>
      <c r="H8" s="2">
        <f>ROUND(Table5[[#This Row],[Marks]],1)</f>
        <v>74.900000000000006</v>
      </c>
      <c r="I8" s="2">
        <f>ROUNDUP(Table5[[#This Row],[Assignment Score]],1)</f>
        <v>79.399999999999991</v>
      </c>
      <c r="J8" s="2">
        <f>ROUNDDOWN(Table5[[#This Row],[Study Hours]],0)</f>
        <v>3</v>
      </c>
      <c r="K8" s="2">
        <f>INT(Table5[[#This Row],[Study Hours]])</f>
        <v>3</v>
      </c>
      <c r="L8" s="10" t="str">
        <f>IF(Table5[[#This Row],[Marks]]&gt;50,"PASS","FAIL")</f>
        <v>PASS</v>
      </c>
      <c r="M8" s="10" t="str">
        <f>IF(Table5[[#This Row],[Attendance %]]&gt;75,"ELIGIBLE","NOT ELLIGIBLE")</f>
        <v>ELIGIBLE</v>
      </c>
      <c r="N8" s="10" t="str">
        <f>IF(Table5[[#This Row],[Assignment Score]]&gt;70,"EXCELLENT","GOOD")</f>
        <v>EXCELLENT</v>
      </c>
      <c r="O8" s="10" t="str">
        <f>IF(Table5[[#This Row],[Fee Paid]]="Yes","PAID","NOT PAID")</f>
        <v>PAID</v>
      </c>
      <c r="P8" s="10" t="str">
        <f>IF(AND(Table5[[#This Row],[Marks]]&gt;=75,Table5[[#This Row],[Attendance %]]&gt;=75),"ELIGIBLE","NOT ELIGIBLE")</f>
        <v>NOT ELIGIBLE</v>
      </c>
      <c r="Q8" s="10" t="str">
        <f>IF(AND(Table5[[#This Row],[EXAM ELIGIBLITY]]="ELIGIBLE",Table5[[#This Row],[result]]="PASS"),"EXCELLENT","NEED IMPROVE")</f>
        <v>NEED IMPROVE</v>
      </c>
      <c r="R8" s="10" t="str">
        <f>IF(AND(Table5[[#This Row],[result]]="PASS",Table5[[#This Row],[Column7]]="PAID"),"ALL GOOD","NEEDS ATTENTION")</f>
        <v>ALL GOOD</v>
      </c>
    </row>
    <row r="9" spans="1:18">
      <c r="A9" s="4" t="s">
        <v>23</v>
      </c>
      <c r="B9" s="4" t="s">
        <v>24</v>
      </c>
      <c r="C9" s="2">
        <v>88.765000000000001</v>
      </c>
      <c r="D9" s="2">
        <v>94.3</v>
      </c>
      <c r="E9" s="2">
        <v>91.25</v>
      </c>
      <c r="F9" s="4" t="s">
        <v>9</v>
      </c>
      <c r="G9" s="2">
        <v>5.2</v>
      </c>
      <c r="H9" s="2">
        <f>ROUND(Table5[[#This Row],[Marks]],1)</f>
        <v>88.8</v>
      </c>
      <c r="I9" s="2">
        <f>ROUNDUP(Table5[[#This Row],[Assignment Score]],1)</f>
        <v>91.3</v>
      </c>
      <c r="J9" s="2">
        <f>ROUNDDOWN(Table5[[#This Row],[Study Hours]],0)</f>
        <v>5</v>
      </c>
      <c r="K9" s="2">
        <f>INT(Table5[[#This Row],[Study Hours]])</f>
        <v>5</v>
      </c>
      <c r="L9" s="10" t="str">
        <f>IF(Table5[[#This Row],[Marks]]&gt;50,"PASS","FAIL")</f>
        <v>PASS</v>
      </c>
      <c r="M9" s="10" t="str">
        <f>IF(Table5[[#This Row],[Attendance %]]&gt;75,"ELIGIBLE","NOT ELLIGIBLE")</f>
        <v>ELIGIBLE</v>
      </c>
      <c r="N9" s="10" t="str">
        <f>IF(Table5[[#This Row],[Assignment Score]]&gt;70,"EXCELLENT","GOOD")</f>
        <v>EXCELLENT</v>
      </c>
      <c r="O9" s="10" t="str">
        <f>IF(Table5[[#This Row],[Fee Paid]]="Yes","PAID","NOT PAID")</f>
        <v>PAID</v>
      </c>
      <c r="P9" s="10" t="str">
        <f>IF(AND(Table5[[#This Row],[Marks]]&gt;=75,Table5[[#This Row],[Attendance %]]&gt;=75),"ELIGIBLE","NOT ELIGIBLE")</f>
        <v>ELIGIBLE</v>
      </c>
      <c r="Q9" s="10" t="str">
        <f>IF(AND(Table5[[#This Row],[EXAM ELIGIBLITY]]="ELIGIBLE",Table5[[#This Row],[result]]="PASS"),"EXCELLENT","NEED IMPROVE")</f>
        <v>EXCELLENT</v>
      </c>
      <c r="R9" s="10" t="str">
        <f>IF(AND(Table5[[#This Row],[result]]="PASS",Table5[[#This Row],[Column7]]="PAID"),"ALL GOOD","NEEDS ATTENTION")</f>
        <v>ALL GOOD</v>
      </c>
    </row>
    <row r="10" spans="1:18" ht="30">
      <c r="A10" s="4" t="s">
        <v>25</v>
      </c>
      <c r="B10" s="4" t="s">
        <v>26</v>
      </c>
      <c r="C10" s="2">
        <v>59.432000000000002</v>
      </c>
      <c r="D10" s="2">
        <v>78.900000000000006</v>
      </c>
      <c r="E10" s="2">
        <v>64.75</v>
      </c>
      <c r="F10" s="4" t="s">
        <v>16</v>
      </c>
      <c r="G10" s="2">
        <v>2.8</v>
      </c>
      <c r="H10" s="2">
        <f>ROUND(Table5[[#This Row],[Marks]],1)</f>
        <v>59.4</v>
      </c>
      <c r="I10" s="2">
        <f>ROUNDUP(Table5[[#This Row],[Assignment Score]],1)</f>
        <v>64.8</v>
      </c>
      <c r="J10" s="2">
        <f>ROUNDDOWN(Table5[[#This Row],[Study Hours]],0)</f>
        <v>2</v>
      </c>
      <c r="K10" s="2">
        <f>INT(Table5[[#This Row],[Study Hours]])</f>
        <v>2</v>
      </c>
      <c r="L10" s="10" t="str">
        <f>IF(Table5[[#This Row],[Marks]]&gt;50,"PASS","FAIL")</f>
        <v>PASS</v>
      </c>
      <c r="M10" s="10" t="str">
        <f>IF(Table5[[#This Row],[Attendance %]]&gt;75,"ELIGIBLE","NOT ELLIGIBLE")</f>
        <v>ELIGIBLE</v>
      </c>
      <c r="N10" s="10" t="str">
        <f>IF(Table5[[#This Row],[Assignment Score]]&gt;70,"EXCELLENT","GOOD")</f>
        <v>GOOD</v>
      </c>
      <c r="O10" s="10" t="str">
        <f>IF(Table5[[#This Row],[Fee Paid]]="Yes","PAID","NOT PAID")</f>
        <v>NOT PAID</v>
      </c>
      <c r="P10" s="10" t="str">
        <f>IF(AND(Table5[[#This Row],[Marks]]&gt;=75,Table5[[#This Row],[Attendance %]]&gt;=75),"ELIGIBLE","NOT ELIGIBLE")</f>
        <v>NOT ELIGIBLE</v>
      </c>
      <c r="Q10" s="10" t="str">
        <f>IF(AND(Table5[[#This Row],[EXAM ELIGIBLITY]]="ELIGIBLE",Table5[[#This Row],[result]]="PASS"),"EXCELLENT","NEED IMPROVE")</f>
        <v>NEED IMPROVE</v>
      </c>
      <c r="R10" s="10" t="str">
        <f>IF(AND(Table5[[#This Row],[result]]="PASS",Table5[[#This Row],[Column7]]="PAID"),"ALL GOOD","NEEDS ATTENTION")</f>
        <v>NEEDS ATTENTION</v>
      </c>
    </row>
    <row r="11" spans="1:18">
      <c r="A11" s="4" t="s">
        <v>27</v>
      </c>
      <c r="B11" s="4" t="s">
        <v>28</v>
      </c>
      <c r="C11" s="2">
        <v>96.876000000000005</v>
      </c>
      <c r="D11" s="2">
        <v>98.2</v>
      </c>
      <c r="E11" s="2">
        <v>97.5</v>
      </c>
      <c r="F11" s="4" t="s">
        <v>9</v>
      </c>
      <c r="G11" s="2">
        <v>6.3</v>
      </c>
      <c r="H11" s="2">
        <f>ROUND(Table5[[#This Row],[Marks]],1)</f>
        <v>96.9</v>
      </c>
      <c r="I11" s="2">
        <f>ROUNDUP(Table5[[#This Row],[Assignment Score]],1)</f>
        <v>97.5</v>
      </c>
      <c r="J11" s="2">
        <f>ROUNDDOWN(Table5[[#This Row],[Study Hours]],0)</f>
        <v>6</v>
      </c>
      <c r="K11" s="2">
        <f>INT(Table5[[#This Row],[Study Hours]])</f>
        <v>6</v>
      </c>
      <c r="L11" s="10" t="str">
        <f>IF(Table5[[#This Row],[Marks]]&gt;50,"PASS","FAIL")</f>
        <v>PASS</v>
      </c>
      <c r="M11" s="10" t="str">
        <f>IF(Table5[[#This Row],[Attendance %]]&gt;75,"ELIGIBLE","NOT ELLIGIBLE")</f>
        <v>ELIGIBLE</v>
      </c>
      <c r="N11" s="10" t="str">
        <f>IF(Table5[[#This Row],[Assignment Score]]&gt;70,"EXCELLENT","GOOD")</f>
        <v>EXCELLENT</v>
      </c>
      <c r="O11" s="10" t="str">
        <f>IF(Table5[[#This Row],[Fee Paid]]="Yes","PAID","NOT PAID")</f>
        <v>PAID</v>
      </c>
      <c r="P11" s="10" t="str">
        <f>IF(AND(Table5[[#This Row],[Marks]]&gt;=75,Table5[[#This Row],[Attendance %]]&gt;=75),"ELIGIBLE","NOT ELIGIBLE")</f>
        <v>ELIGIBLE</v>
      </c>
      <c r="Q11" s="10" t="str">
        <f>IF(AND(Table5[[#This Row],[EXAM ELIGIBLITY]]="ELIGIBLE",Table5[[#This Row],[result]]="PASS"),"EXCELLENT","NEED IMPROVE")</f>
        <v>EXCELLENT</v>
      </c>
      <c r="R11" s="10" t="str">
        <f>IF(AND(Table5[[#This Row],[result]]="PASS",Table5[[#This Row],[Column7]]="PAID"),"ALL GOOD","NEEDS ATTENTION")</f>
        <v>ALL GOOD</v>
      </c>
    </row>
    <row r="12" spans="1:18">
      <c r="A12" s="4" t="s">
        <v>29</v>
      </c>
      <c r="B12" s="4" t="s">
        <v>30</v>
      </c>
      <c r="C12" s="2">
        <v>69.543000000000006</v>
      </c>
      <c r="D12" s="2">
        <v>82.5</v>
      </c>
      <c r="E12" s="2">
        <v>74.599999999999994</v>
      </c>
      <c r="F12" s="4" t="s">
        <v>9</v>
      </c>
      <c r="G12" s="2">
        <v>3.5</v>
      </c>
      <c r="H12" s="2">
        <f>ROUND(Table5[[#This Row],[Marks]],1)</f>
        <v>69.5</v>
      </c>
      <c r="I12" s="2">
        <f>ROUNDUP(Table5[[#This Row],[Assignment Score]],1)</f>
        <v>74.599999999999994</v>
      </c>
      <c r="J12" s="2">
        <f>ROUNDDOWN(Table5[[#This Row],[Study Hours]],0)</f>
        <v>3</v>
      </c>
      <c r="K12" s="2">
        <f>INT(Table5[[#This Row],[Study Hours]])</f>
        <v>3</v>
      </c>
      <c r="L12" s="10" t="str">
        <f>IF(Table5[[#This Row],[Marks]]&gt;50,"PASS","FAIL")</f>
        <v>PASS</v>
      </c>
      <c r="M12" s="10" t="str">
        <f>IF(Table5[[#This Row],[Attendance %]]&gt;75,"ELIGIBLE","NOT ELLIGIBLE")</f>
        <v>ELIGIBLE</v>
      </c>
      <c r="N12" s="10" t="str">
        <f>IF(Table5[[#This Row],[Assignment Score]]&gt;70,"EXCELLENT","GOOD")</f>
        <v>EXCELLENT</v>
      </c>
      <c r="O12" s="10" t="str">
        <f>IF(Table5[[#This Row],[Fee Paid]]="Yes","PAID","NOT PAID")</f>
        <v>PAID</v>
      </c>
      <c r="P12" s="10" t="str">
        <f>IF(AND(Table5[[#This Row],[Marks]]&gt;=75,Table5[[#This Row],[Attendance %]]&gt;=75),"ELIGIBLE","NOT ELIGIBLE")</f>
        <v>NOT ELIGIBLE</v>
      </c>
      <c r="Q12" s="10" t="str">
        <f>IF(AND(Table5[[#This Row],[EXAM ELIGIBLITY]]="ELIGIBLE",Table5[[#This Row],[result]]="PASS"),"EXCELLENT","NEED IMPROVE")</f>
        <v>NEED IMPROVE</v>
      </c>
      <c r="R12" s="10" t="str">
        <f>IF(AND(Table5[[#This Row],[result]]="PASS",Table5[[#This Row],[Column7]]="PAID"),"ALL GOOD","NEEDS ATTENTION")</f>
        <v>ALL GOOD</v>
      </c>
    </row>
    <row r="13" spans="1:18" ht="30">
      <c r="A13" s="4" t="s">
        <v>31</v>
      </c>
      <c r="B13" s="4" t="s">
        <v>32</v>
      </c>
      <c r="C13" s="2">
        <v>48.219000000000001</v>
      </c>
      <c r="D13" s="2">
        <v>65.8</v>
      </c>
      <c r="E13" s="2">
        <v>52.4</v>
      </c>
      <c r="F13" s="4" t="s">
        <v>16</v>
      </c>
      <c r="G13" s="2">
        <v>1.8</v>
      </c>
      <c r="H13" s="2">
        <f>ROUND(Table5[[#This Row],[Marks]],1)</f>
        <v>48.2</v>
      </c>
      <c r="I13" s="2">
        <f>ROUNDUP(Table5[[#This Row],[Assignment Score]],1)</f>
        <v>52.4</v>
      </c>
      <c r="J13" s="2">
        <f>ROUNDDOWN(Table5[[#This Row],[Study Hours]],0)</f>
        <v>1</v>
      </c>
      <c r="K13" s="2">
        <f>INT(Table5[[#This Row],[Study Hours]])</f>
        <v>1</v>
      </c>
      <c r="L13" s="10" t="str">
        <f>IF(Table5[[#This Row],[Marks]]&gt;50,"PASS","FAIL")</f>
        <v>FAIL</v>
      </c>
      <c r="M13" s="10" t="str">
        <f>IF(Table5[[#This Row],[Attendance %]]&gt;75,"ELIGIBLE","NOT ELLIGIBLE")</f>
        <v>NOT ELLIGIBLE</v>
      </c>
      <c r="N13" s="10" t="str">
        <f>IF(Table5[[#This Row],[Assignment Score]]&gt;70,"EXCELLENT","GOOD")</f>
        <v>GOOD</v>
      </c>
      <c r="O13" s="10" t="str">
        <f>IF(Table5[[#This Row],[Fee Paid]]="Yes","PAID","NOT PAID")</f>
        <v>NOT PAID</v>
      </c>
      <c r="P13" s="10" t="str">
        <f>IF(AND(Table5[[#This Row],[Marks]]&gt;=75,Table5[[#This Row],[Attendance %]]&gt;=75),"ELIGIBLE","NOT ELIGIBLE")</f>
        <v>NOT ELIGIBLE</v>
      </c>
      <c r="Q13" s="10" t="str">
        <f>IF(AND(Table5[[#This Row],[EXAM ELIGIBLITY]]="ELIGIBLE",Table5[[#This Row],[result]]="PASS"),"EXCELLENT","NEED IMPROVE")</f>
        <v>NEED IMPROVE</v>
      </c>
      <c r="R13" s="10" t="str">
        <f>IF(AND(Table5[[#This Row],[result]]="PASS",Table5[[#This Row],[Column7]]="PAID"),"ALL GOOD","NEEDS ATTENTION")</f>
        <v>NEEDS ATTENTION</v>
      </c>
    </row>
    <row r="14" spans="1:18">
      <c r="A14" s="4" t="s">
        <v>33</v>
      </c>
      <c r="B14" s="4" t="s">
        <v>34</v>
      </c>
      <c r="C14" s="2">
        <v>85.677999999999997</v>
      </c>
      <c r="D14" s="2">
        <v>90.4</v>
      </c>
      <c r="E14" s="2">
        <v>89.75</v>
      </c>
      <c r="F14" s="4" t="s">
        <v>9</v>
      </c>
      <c r="G14" s="2">
        <v>4.5999999999999996</v>
      </c>
      <c r="H14" s="2">
        <f>ROUND(Table5[[#This Row],[Marks]],1)</f>
        <v>85.7</v>
      </c>
      <c r="I14" s="2">
        <f>ROUNDUP(Table5[[#This Row],[Assignment Score]],1)</f>
        <v>89.8</v>
      </c>
      <c r="J14" s="2">
        <f>ROUNDDOWN(Table5[[#This Row],[Study Hours]],0)</f>
        <v>4</v>
      </c>
      <c r="K14" s="2">
        <f>INT(Table5[[#This Row],[Study Hours]])</f>
        <v>4</v>
      </c>
      <c r="L14" s="10" t="str">
        <f>IF(Table5[[#This Row],[Marks]]&gt;50,"PASS","FAIL")</f>
        <v>PASS</v>
      </c>
      <c r="M14" s="10" t="str">
        <f>IF(Table5[[#This Row],[Attendance %]]&gt;75,"ELIGIBLE","NOT ELLIGIBLE")</f>
        <v>ELIGIBLE</v>
      </c>
      <c r="N14" s="10" t="str">
        <f>IF(Table5[[#This Row],[Assignment Score]]&gt;70,"EXCELLENT","GOOD")</f>
        <v>EXCELLENT</v>
      </c>
      <c r="O14" s="10" t="str">
        <f>IF(Table5[[#This Row],[Fee Paid]]="Yes","PAID","NOT PAID")</f>
        <v>PAID</v>
      </c>
      <c r="P14" s="10" t="str">
        <f>IF(AND(Table5[[#This Row],[Marks]]&gt;=75,Table5[[#This Row],[Attendance %]]&gt;=75),"ELIGIBLE","NOT ELIGIBLE")</f>
        <v>ELIGIBLE</v>
      </c>
      <c r="Q14" s="10" t="str">
        <f>IF(AND(Table5[[#This Row],[EXAM ELIGIBLITY]]="ELIGIBLE",Table5[[#This Row],[result]]="PASS"),"EXCELLENT","NEED IMPROVE")</f>
        <v>EXCELLENT</v>
      </c>
      <c r="R14" s="10" t="str">
        <f>IF(AND(Table5[[#This Row],[result]]="PASS",Table5[[#This Row],[Column7]]="PAID"),"ALL GOOD","NEEDS ATTENTION")</f>
        <v>ALL GOOD</v>
      </c>
    </row>
    <row r="15" spans="1:18">
      <c r="A15" s="4" t="s">
        <v>35</v>
      </c>
      <c r="B15" s="4" t="s">
        <v>36</v>
      </c>
      <c r="C15" s="2">
        <v>72.344999999999999</v>
      </c>
      <c r="D15" s="2">
        <v>87.3</v>
      </c>
      <c r="E15" s="2">
        <v>76.2</v>
      </c>
      <c r="F15" s="4" t="s">
        <v>9</v>
      </c>
      <c r="G15" s="2">
        <v>3.7</v>
      </c>
      <c r="H15" s="2">
        <f>ROUND(Table5[[#This Row],[Marks]],1)</f>
        <v>72.3</v>
      </c>
      <c r="I15" s="2">
        <f>ROUNDUP(Table5[[#This Row],[Assignment Score]],1)</f>
        <v>76.2</v>
      </c>
      <c r="J15" s="2">
        <f>ROUNDDOWN(Table5[[#This Row],[Study Hours]],0)</f>
        <v>3</v>
      </c>
      <c r="K15" s="2">
        <f>INT(Table5[[#This Row],[Study Hours]])</f>
        <v>3</v>
      </c>
      <c r="L15" s="10" t="str">
        <f>IF(Table5[[#This Row],[Marks]]&gt;50,"PASS","FAIL")</f>
        <v>PASS</v>
      </c>
      <c r="M15" s="10" t="str">
        <f>IF(Table5[[#This Row],[Attendance %]]&gt;75,"ELIGIBLE","NOT ELLIGIBLE")</f>
        <v>ELIGIBLE</v>
      </c>
      <c r="N15" s="10" t="str">
        <f>IF(Table5[[#This Row],[Assignment Score]]&gt;70,"EXCELLENT","GOOD")</f>
        <v>EXCELLENT</v>
      </c>
      <c r="O15" s="10" t="str">
        <f>IF(Table5[[#This Row],[Fee Paid]]="Yes","PAID","NOT PAID")</f>
        <v>PAID</v>
      </c>
      <c r="P15" s="10" t="str">
        <f>IF(AND(Table5[[#This Row],[Marks]]&gt;=75,Table5[[#This Row],[Attendance %]]&gt;=75),"ELIGIBLE","NOT ELIGIBLE")</f>
        <v>NOT ELIGIBLE</v>
      </c>
      <c r="Q15" s="10" t="str">
        <f>IF(AND(Table5[[#This Row],[EXAM ELIGIBLITY]]="ELIGIBLE",Table5[[#This Row],[result]]="PASS"),"EXCELLENT","NEED IMPROVE")</f>
        <v>NEED IMPROVE</v>
      </c>
      <c r="R15" s="10" t="str">
        <f>IF(AND(Table5[[#This Row],[result]]="PASS",Table5[[#This Row],[Column7]]="PAID"),"ALL GOOD","NEEDS ATTENTION")</f>
        <v>ALL GOOD</v>
      </c>
    </row>
    <row r="16" spans="1:18">
      <c r="A16" s="4" t="s">
        <v>37</v>
      </c>
      <c r="B16" s="4" t="s">
        <v>38</v>
      </c>
      <c r="C16" s="2">
        <v>93.566999999999993</v>
      </c>
      <c r="D16" s="2">
        <v>95.6</v>
      </c>
      <c r="E16" s="2">
        <v>92.85</v>
      </c>
      <c r="F16" s="4" t="s">
        <v>9</v>
      </c>
      <c r="G16" s="2">
        <v>5.9</v>
      </c>
      <c r="H16" s="2">
        <f>ROUND(Table5[[#This Row],[Marks]],1)</f>
        <v>93.6</v>
      </c>
      <c r="I16" s="2">
        <f>ROUNDUP(Table5[[#This Row],[Assignment Score]],1)</f>
        <v>92.899999999999991</v>
      </c>
      <c r="J16" s="2">
        <f>ROUNDDOWN(Table5[[#This Row],[Study Hours]],0)</f>
        <v>5</v>
      </c>
      <c r="K16" s="2">
        <f>INT(Table5[[#This Row],[Study Hours]])</f>
        <v>5</v>
      </c>
      <c r="L16" s="10" t="str">
        <f>IF(Table5[[#This Row],[Marks]]&gt;50,"PASS","FAIL")</f>
        <v>PASS</v>
      </c>
      <c r="M16" s="10" t="str">
        <f>IF(Table5[[#This Row],[Attendance %]]&gt;75,"ELIGIBLE","NOT ELLIGIBLE")</f>
        <v>ELIGIBLE</v>
      </c>
      <c r="N16" s="10" t="str">
        <f>IF(Table5[[#This Row],[Assignment Score]]&gt;70,"EXCELLENT","GOOD")</f>
        <v>EXCELLENT</v>
      </c>
      <c r="O16" s="10" t="str">
        <f>IF(Table5[[#This Row],[Fee Paid]]="Yes","PAID","NOT PAID")</f>
        <v>PAID</v>
      </c>
      <c r="P16" s="10" t="str">
        <f>IF(AND(Table5[[#This Row],[Marks]]&gt;=75,Table5[[#This Row],[Attendance %]]&gt;=75),"ELIGIBLE","NOT ELIGIBLE")</f>
        <v>ELIGIBLE</v>
      </c>
      <c r="Q16" s="10" t="str">
        <f>IF(AND(Table5[[#This Row],[EXAM ELIGIBLITY]]="ELIGIBLE",Table5[[#This Row],[result]]="PASS"),"EXCELLENT","NEED IMPROVE")</f>
        <v>EXCELLENT</v>
      </c>
      <c r="R16" s="10" t="str">
        <f>IF(AND(Table5[[#This Row],[result]]="PASS",Table5[[#This Row],[Column7]]="PAID"),"ALL GOOD","NEEDS ATTENTION")</f>
        <v>ALL GOOD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03D-0A93-4A6E-95ED-1FC95CFEA11C}">
  <dimension ref="A1:E9"/>
  <sheetViews>
    <sheetView topLeftCell="C1" zoomScale="80" workbookViewId="0">
      <selection activeCell="K5" sqref="K5"/>
    </sheetView>
  </sheetViews>
  <sheetFormatPr defaultRowHeight="15"/>
  <cols>
    <col min="1" max="1" width="21.140625" customWidth="1"/>
    <col min="2" max="2" width="27.28515625" customWidth="1"/>
    <col min="3" max="3" width="42.7109375" customWidth="1"/>
    <col min="4" max="4" width="40.42578125" customWidth="1"/>
    <col min="5" max="5" width="57.710937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ht="30">
      <c r="A2" s="8" t="s">
        <v>60</v>
      </c>
      <c r="B2" s="4" t="s">
        <v>61</v>
      </c>
      <c r="C2" s="9" t="s">
        <v>62</v>
      </c>
      <c r="D2" s="9" t="s">
        <v>63</v>
      </c>
      <c r="E2" s="4" t="s">
        <v>64</v>
      </c>
    </row>
    <row r="3" spans="1:5" ht="30">
      <c r="A3" s="8" t="s">
        <v>65</v>
      </c>
      <c r="B3" s="4" t="s">
        <v>66</v>
      </c>
      <c r="C3" s="9" t="s">
        <v>67</v>
      </c>
      <c r="D3" s="9" t="s">
        <v>68</v>
      </c>
      <c r="E3" s="4" t="s">
        <v>69</v>
      </c>
    </row>
    <row r="4" spans="1:5" ht="30">
      <c r="A4" s="8" t="s">
        <v>70</v>
      </c>
      <c r="B4" s="4" t="s">
        <v>71</v>
      </c>
      <c r="C4" s="9" t="s">
        <v>74</v>
      </c>
      <c r="D4" s="9" t="s">
        <v>75</v>
      </c>
      <c r="E4" s="4" t="s">
        <v>76</v>
      </c>
    </row>
    <row r="5" spans="1:5" ht="45">
      <c r="A5" s="8" t="s">
        <v>77</v>
      </c>
      <c r="B5" s="4" t="s">
        <v>78</v>
      </c>
      <c r="C5" s="9" t="s">
        <v>79</v>
      </c>
      <c r="D5" s="9" t="s">
        <v>80</v>
      </c>
      <c r="E5" s="4" t="s">
        <v>81</v>
      </c>
    </row>
    <row r="6" spans="1:5" ht="45">
      <c r="A6" s="8" t="s">
        <v>82</v>
      </c>
      <c r="B6" s="4" t="s">
        <v>83</v>
      </c>
      <c r="C6" s="9" t="s">
        <v>84</v>
      </c>
      <c r="D6" s="9" t="s">
        <v>85</v>
      </c>
      <c r="E6" s="4" t="s">
        <v>86</v>
      </c>
    </row>
    <row r="7" spans="1:5" ht="30">
      <c r="A7" s="8" t="s">
        <v>87</v>
      </c>
      <c r="B7" s="4" t="s">
        <v>88</v>
      </c>
      <c r="C7" s="9" t="s">
        <v>89</v>
      </c>
      <c r="D7" s="9" t="s">
        <v>90</v>
      </c>
      <c r="E7" s="4" t="s">
        <v>91</v>
      </c>
    </row>
    <row r="8" spans="1:5" ht="45">
      <c r="A8" s="8" t="s">
        <v>92</v>
      </c>
      <c r="B8" s="4" t="s">
        <v>93</v>
      </c>
      <c r="C8" s="9" t="s">
        <v>94</v>
      </c>
      <c r="D8" s="9" t="s">
        <v>95</v>
      </c>
      <c r="E8" s="4" t="s">
        <v>96</v>
      </c>
    </row>
    <row r="9" spans="1:5" ht="45">
      <c r="A9" s="8" t="s">
        <v>97</v>
      </c>
      <c r="B9" s="4" t="s">
        <v>98</v>
      </c>
      <c r="C9" s="9" t="s">
        <v>99</v>
      </c>
      <c r="D9" s="9" t="s">
        <v>100</v>
      </c>
      <c r="E9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D9C-3C9F-4373-8046-45CF8063318B}">
  <dimension ref="A3:B3"/>
  <sheetViews>
    <sheetView topLeftCell="A3" zoomScale="235" workbookViewId="0">
      <selection activeCell="B4" sqref="B4"/>
    </sheetView>
  </sheetViews>
  <sheetFormatPr defaultRowHeight="15"/>
  <sheetData>
    <row r="3" spans="1:2">
      <c r="A3">
        <f>567.45232</f>
        <v>567.45231999999999</v>
      </c>
      <c r="B3">
        <f>ROUND(A3,3)</f>
        <v>567.452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740D-77DB-4CC5-822C-24DE785E68DF}">
  <dimension ref="A1:E31"/>
  <sheetViews>
    <sheetView topLeftCell="A10" zoomScale="117" workbookViewId="0">
      <selection activeCell="H8" sqref="H8"/>
    </sheetView>
  </sheetViews>
  <sheetFormatPr defaultRowHeight="15"/>
  <cols>
    <col min="1" max="1" width="105.28515625" customWidth="1"/>
  </cols>
  <sheetData>
    <row r="1" spans="1:1">
      <c r="A1" s="5" t="s">
        <v>39</v>
      </c>
    </row>
    <row r="2" spans="1:1">
      <c r="A2" s="6"/>
    </row>
    <row r="3" spans="1:1">
      <c r="A3" s="6" t="s">
        <v>40</v>
      </c>
    </row>
    <row r="4" spans="1:1">
      <c r="A4" s="6" t="s">
        <v>41</v>
      </c>
    </row>
    <row r="5" spans="1:1">
      <c r="A5" s="6" t="s">
        <v>42</v>
      </c>
    </row>
    <row r="6" spans="1:1">
      <c r="A6" s="6" t="s">
        <v>43</v>
      </c>
    </row>
    <row r="8" spans="1:1">
      <c r="A8" s="5" t="s">
        <v>72</v>
      </c>
    </row>
    <row r="9" spans="1:1">
      <c r="A9" t="s">
        <v>44</v>
      </c>
    </row>
    <row r="10" spans="1:1">
      <c r="A10" t="s">
        <v>45</v>
      </c>
    </row>
    <row r="12" spans="1:1">
      <c r="A12" s="5" t="s">
        <v>73</v>
      </c>
    </row>
    <row r="13" spans="1:1">
      <c r="A13" t="s">
        <v>46</v>
      </c>
    </row>
    <row r="14" spans="1:1" ht="15.75">
      <c r="A14" t="s">
        <v>47</v>
      </c>
    </row>
    <row r="15" spans="1:1">
      <c r="A15" t="s">
        <v>48</v>
      </c>
    </row>
    <row r="16" spans="1:1">
      <c r="A16" s="6"/>
    </row>
    <row r="17" spans="1:5">
      <c r="A17" s="6" t="s">
        <v>49</v>
      </c>
    </row>
    <row r="18" spans="1:5">
      <c r="A18" s="6" t="s">
        <v>50</v>
      </c>
    </row>
    <row r="19" spans="1:5">
      <c r="A19" s="6" t="s">
        <v>51</v>
      </c>
    </row>
    <row r="20" spans="1:5">
      <c r="A20" s="6" t="s">
        <v>52</v>
      </c>
    </row>
    <row r="21" spans="1:5">
      <c r="A21" s="6" t="s">
        <v>53</v>
      </c>
    </row>
    <row r="22" spans="1:5">
      <c r="A22" s="6" t="s">
        <v>54</v>
      </c>
    </row>
    <row r="26" spans="1:5" ht="18">
      <c r="A26" s="7"/>
    </row>
    <row r="28" spans="1:5">
      <c r="A28" s="1"/>
      <c r="B28" s="1"/>
      <c r="C28" s="1"/>
      <c r="D28" s="1"/>
      <c r="E28" s="1"/>
    </row>
    <row r="29" spans="1:5">
      <c r="A29" s="8"/>
      <c r="B29" s="4"/>
      <c r="C29" s="9"/>
      <c r="D29" s="9"/>
      <c r="E29" s="4"/>
    </row>
    <row r="30" spans="1:5">
      <c r="A30" s="8"/>
      <c r="B30" s="4"/>
      <c r="C30" s="9"/>
      <c r="D30" s="9"/>
      <c r="E30" s="4"/>
    </row>
    <row r="31" spans="1:5">
      <c r="A31" s="8"/>
      <c r="B31" s="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NOTES</vt:lpstr>
      <vt:lpstr>Sheet1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nano</cp:lastModifiedBy>
  <dcterms:created xsi:type="dcterms:W3CDTF">2026-09-03T05:07:24Z</dcterms:created>
  <dcterms:modified xsi:type="dcterms:W3CDTF">2026-09-07T07:43:26Z</dcterms:modified>
</cp:coreProperties>
</file>